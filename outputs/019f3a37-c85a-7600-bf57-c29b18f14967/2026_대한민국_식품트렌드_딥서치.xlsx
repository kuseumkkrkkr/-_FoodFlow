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a947e02e6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e5e74c72b034f7f"/>
    <x:sheet xmlns:r="http://schemas.openxmlformats.org/officeDocument/2006/relationships" name="키워드_딥서치" sheetId="2" r:id="Rf97c3039ca3a42e4"/>
    <x:sheet xmlns:r="http://schemas.openxmlformats.org/officeDocument/2006/relationships" name="검색량_근거" sheetId="3" r:id="Rc2d796d5004947aa"/>
    <x:sheet xmlns:r="http://schemas.openxmlformats.org/officeDocument/2006/relationships" name="시장데이터" sheetId="4" r:id="R33ffddab152446ee"/>
    <x:sheet xmlns:r="http://schemas.openxmlformats.org/officeDocument/2006/relationships" name="팩트체크_출처" sheetId="5" r:id="Raf58bb98188f41d3"/>
    <x:sheet xmlns:r="http://schemas.openxmlformats.org/officeDocument/2006/relationships" name="출처_URL" sheetId="6" r:id="R27bd51cf34734a8a"/>
    <x:sheet xmlns:r="http://schemas.openxmlformats.org/officeDocument/2006/relationships" name="방법론" sheetId="7" r:id="R799af278216447e1"/>
  </x:sheets>
</x:workbook>
</file>

<file path=xl/comments1.xml><?xml version="1.0" encoding="utf-8"?>
<x:comments xmlns:x="http://schemas.openxmlformats.org/spreadsheetml/2006/main">
  <x:authors>
    <x:author>tc={7CDD3F93-BD99-0089-94A0-4C75CED5864A}</x:author>
    <x:author>tc={3EAE2F06-28A6-E64A-487F-8E3F01E67D2D}</x:author>
  </x:authors>
  <x:commentList>
    <x:comment ref="E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검색량은 개별 키워드 절대량이 아니라 ListeningMind 공개 검색 리포트와 공개 급증 키워드에 기반한 대체 지표입니다.</x:t>
        </x:r>
      </x:text>
    </x:comment>
    <x:comment ref="K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종합점수 = 검색점수 + 시장점수 + 뉴스점수 + 신뢰도점수 + 상업화점수. 세부 점수는 키워드_딥서치 시트에서 확인하세요.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4532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4532D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4532D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8e721832f4217" /><Relationship Type="http://schemas.openxmlformats.org/officeDocument/2006/relationships/theme" Target="/xl/theme/theme1.xml" Id="R6bdbc61829ce450b" /><Relationship Type="http://schemas.openxmlformats.org/officeDocument/2006/relationships/sharedStrings" Target="/xl/sharedStrings.xml" Id="Rf269438cd0274605" /><Relationship Type="http://schemas.openxmlformats.org/officeDocument/2006/relationships/worksheet" Target="/xl/worksheets/sheet1.xml" Id="R5e5e74c72b034f7f" /><Relationship Type="http://schemas.openxmlformats.org/officeDocument/2006/relationships/worksheet" Target="/xl/worksheets/sheet2.xml" Id="Rf97c3039ca3a42e4" /><Relationship Type="http://schemas.openxmlformats.org/officeDocument/2006/relationships/worksheet" Target="/xl/worksheets/sheet3.xml" Id="Rc2d796d5004947aa" /><Relationship Type="http://schemas.openxmlformats.org/officeDocument/2006/relationships/worksheet" Target="/xl/worksheets/sheet4.xml" Id="R33ffddab152446ee" /><Relationship Type="http://schemas.openxmlformats.org/officeDocument/2006/relationships/worksheet" Target="/xl/worksheets/sheet5.xml" Id="Raf58bb98188f41d3" /><Relationship Type="http://schemas.openxmlformats.org/officeDocument/2006/relationships/worksheet" Target="/xl/worksheets/sheet6.xml" Id="R27bd51cf34734a8a" /><Relationship Type="http://schemas.openxmlformats.org/officeDocument/2006/relationships/worksheet" Target="/xl/worksheets/sheet7.xml" Id="R799af278216447e1" /><Relationship Type="http://schemas.microsoft.com/office/2017/10/relationships/person" Target="/xl/persons/person.xml" Id="R1e81c28ab64b4b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e0a45b7d7449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2026 식품 트렌드 종합점수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점수</c:v>
          </c:tx>
          <c:dLbls/>
          <c:cat>
            <c:strRef>
              <c:f>'요약'!$N$5:$N$16</c:f>
              <c:strCache>
                <c:ptCount val="0"/>
              </c:strCache>
            </c:strRef>
          </c:cat>
          <c:val>
            <c:numRef>
              <c:f>'요약'!$O$5:$O$16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0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e0a45b7d7449f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838DA97E-F708-41C5-851D-7AA05A48A17F}"/>
</xltc:personList>
</file>

<file path=xl/tables/table1.xml><?xml version="1.0" encoding="utf-8"?>
<x:table xmlns:x="http://schemas.openxmlformats.org/spreadsheetml/2006/main" id="1" name="SummaryTable" displayName="SummaryTable" ref="A4:L16" headerRowCount="1" totalsRowCount="0" totalsRowShown="0">
  <x:tableColumns count="12">
    <x:tableColumn id="1" name="종합순위"/>
    <x:tableColumn id="2" name="트렌드 키워드"/>
    <x:tableColumn id="3" name="분류"/>
    <x:tableColumn id="4" name="핵심 신호"/>
    <x:tableColumn id="5" name="검색량/인텐트 근거"/>
    <x:tableColumn id="6" name="핵심 데이터"/>
    <x:tableColumn id="7" name="팩트체크"/>
    <x:tableColumn id="8" name="출처ID"/>
    <x:tableColumn id="9" name="상품/사업 기회"/>
    <x:tableColumn id="10" name="주의점"/>
    <x:tableColumn id="11" name="종합점수"/>
    <x:tableColumn id="12" name="우선 액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epDiveTable" displayName="DeepDiveTable" ref="A4:P16" headerRowCount="1" totalsRowCount="0" totalsRowShown="0">
  <x:tableColumns count="16">
    <x:tableColumn id="1" name="종합순위"/>
    <x:tableColumn id="2" name="트렌드 키워드"/>
    <x:tableColumn id="3" name="분류"/>
    <x:tableColumn id="4" name="핵심 신호"/>
    <x:tableColumn id="5" name="검색량/인텐트 근거"/>
    <x:tableColumn id="6" name="핵심 데이터"/>
    <x:tableColumn id="7" name="팩트체크"/>
    <x:tableColumn id="8" name="출처ID"/>
    <x:tableColumn id="9" name="상품/사업 기회"/>
    <x:tableColumn id="10" name="주의점"/>
    <x:tableColumn id="11" name="검색점수"/>
    <x:tableColumn id="12" name="시장점수"/>
    <x:tableColumn id="13" name="뉴스점수"/>
    <x:tableColumn id="14" name="종합점수"/>
    <x:tableColumn id="15" name="신뢰도점수"/>
    <x:tableColumn id="16" name="상업화점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archEvidenceTable" displayName="SearchEvidenceTable" ref="A3:F10" headerRowCount="1" totalsRowCount="0" totalsRowShown="0">
  <x:tableColumns count="6">
    <x:tableColumn id="1" name="지표"/>
    <x:tableColumn id="2" name="값"/>
    <x:tableColumn id="3" name="범위/기간"/>
    <x:tableColumn id="4" name="출처"/>
    <x:tableColumn id="5" name="해석"/>
    <x:tableColumn id="6" name="한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ketDataTable" displayName="MarketDataTable" ref="A3:F21" headerRowCount="1" totalsRowCount="0" totalsRowShown="0">
  <x:tableColumns count="6">
    <x:tableColumn id="1" name="항목"/>
    <x:tableColumn id="2" name="값"/>
    <x:tableColumn id="3" name="연도/기간"/>
    <x:tableColumn id="4" name="출처"/>
    <x:tableColumn id="5" name="관련 키워드"/>
    <x:tableColumn id="6" name="팩트체크 메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ctCheckTable" displayName="FactCheckTable" ref="A3:E13" headerRowCount="1" totalsRowCount="0" totalsRowShown="0">
  <x:tableColumns count="5">
    <x:tableColumn id="1" name="검증 항목"/>
    <x:tableColumn id="2" name="판정"/>
    <x:tableColumn id="3" name="근거 출처"/>
    <x:tableColumn id="4" name="검증 내용"/>
    <x:tableColumn id="5" name="주의/한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UrlTable" displayName="SourceUrlTable" ref="A3:F18" headerRowCount="1" totalsRowCount="0" totalsRowShown="0">
  <x:tableColumns count="6">
    <x:tableColumn id="1" name="ID"/>
    <x:tableColumn id="2" name="출처명"/>
    <x:tableColumn id="3" name="유형"/>
    <x:tableColumn id="4" name="일자"/>
    <x:tableColumn id="5" name="URL"/>
    <x:tableColumn id="6" name="사용 목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hodologyTable" displayName="MethodologyTable" ref="A3:B10" headerRowCount="1" totalsRowCount="0" totalsRowShown="0">
  <x:tableColumns count="2">
    <x:tableColumn id="1" name="구분"/>
    <x:tableColumn id="2" name="내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4" dT="2026-07-07T02:04:37.98" personId="{838DA97E-F708-41C5-851D-7AA05A48A17F}" id="{7CDD3F93-BD99-0089-94A0-4C75CED5864A}">
    <xltc:text>검색량은 개별 키워드 절대량이 아니라 ListeningMind 공개 검색 리포트와 공개 급증 키워드에 기반한 대체 지표입니다.</xltc:text>
  </xltc:threadedComment>
  <xltc:threadedComment ref="K4" dT="2026-07-07T02:04:37.984" personId="{838DA97E-F708-41C5-851D-7AA05A48A17F}" id="{3EAE2F06-28A6-E64A-487F-8E3F01E67D2D}">
    <xltc:text>종합점수 = 검색점수 + 시장점수 + 뉴스점수 + 신뢰도점수 + 상업화점수. 세부 점수는 키워드_딥서치 시트에서 확인하세요.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2391dd30f964cb2" /><Relationship Type="http://schemas.openxmlformats.org/officeDocument/2006/relationships/vmlDrawing" Target="/xl/drawings/vmldrawing.vml" Id="R4c07206a3c1746d4" /><Relationship Type="http://schemas.microsoft.com/office/2017/10/relationships/threadedComment" Target="/xl/threadedcomments/threadedcomment.xml" Id="Rcdec60f58efc4af8" /><Relationship Type="http://schemas.openxmlformats.org/officeDocument/2006/relationships/drawing" Target="/xl/drawings/drawing1.xml" Id="R4556aca09905409f" /><Relationship Type="http://schemas.openxmlformats.org/officeDocument/2006/relationships/table" Target="/xl/tables/table1.xml" Id="R8037550c6f2242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38193fb4c6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ca3182f7af45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9e0c75857649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8bdc7477b044a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6ea4e701e147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d049f62fe3a41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14" hidden="0" customWidth="1"/>
    <x:col min="4" max="4" width="34" hidden="0" customWidth="1"/>
    <x:col min="5" max="5" width="34" hidden="0" customWidth="1"/>
    <x:col min="6" max="6" width="34" hidden="0" customWidth="1"/>
    <x:col min="7" max="7" width="12" hidden="0" customWidth="1"/>
    <x:col min="8" max="8" width="12" hidden="0" customWidth="1"/>
    <x:col min="9" max="9" width="36" hidden="0" customWidth="1"/>
    <x:col min="10" max="10" width="36" hidden="0" customWidth="1"/>
    <x:col min="11" max="11" width="12" hidden="0" customWidth="1"/>
    <x:col min="12" max="12" width="12" hidden="0" customWidth="1"/>
  </x:cols>
  <x:sheetData>
    <x:row r="1" ht="16.799999237060547" hidden="0" customHeight="1">
      <x:c r="A1" s="10" t="str">
        <x:v>2026 대한민국 식품 트렌드 딥서치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1"/>
      <x:c r="N1" s="11"/>
      <x:c r="O1" s="11"/>
      <x:c r="P1" s="11"/>
      <x:c r="Q1" s="11"/>
      <x:c r="R1" s="11"/>
      <x:c r="S1" s="11"/>
      <x:c r="T1" s="11"/>
      <x:c r="U1" s="11"/>
    </x:row>
    <x:row r="2" ht="15" hidden="0" customHeight="1">
      <x:c r="A2" s="5" t="str">
        <x:v>작성 기준일: 2026-07-07 | 검색량 원자료 한계: 개별 키워드 절대 검색량은 공개 출처로 확인 불가, 공개 검색 리포트와 시장 데이터를 결합한 종합순위입니다.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11"/>
      <x:c r="N2" s="11"/>
      <x:c r="O2" s="11"/>
      <x:c r="P2" s="11"/>
      <x:c r="Q2" s="11"/>
      <x:c r="R2" s="11"/>
      <x:c r="S2" s="11"/>
      <x:c r="T2" s="11"/>
      <x:c r="U2" s="11"/>
    </x:row>
    <x:row r="3" ht="15" hidden="0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</x:row>
    <x:row r="4" ht="15" hidden="0" customHeight="1">
      <x:c r="A4" s="8" t="str">
        <x:v>종합순위</x:v>
      </x:c>
      <x:c r="B4" s="8" t="str">
        <x:v>트렌드 키워드</x:v>
      </x:c>
      <x:c r="C4" s="8" t="str">
        <x:v>분류</x:v>
      </x:c>
      <x:c r="D4" s="8" t="str">
        <x:v>핵심 신호</x:v>
      </x:c>
      <x:c r="E4" s="8" t="str">
        <x:v>검색량/인텐트 근거</x:v>
      </x:c>
      <x:c r="F4" s="8" t="str">
        <x:v>핵심 데이터</x:v>
      </x:c>
      <x:c r="G4" s="8" t="str">
        <x:v>팩트체크</x:v>
      </x:c>
      <x:c r="H4" s="8" t="str">
        <x:v>출처ID</x:v>
      </x:c>
      <x:c r="I4" s="8" t="str">
        <x:v>상품/사업 기회</x:v>
      </x:c>
      <x:c r="J4" s="8" t="str">
        <x:v>주의점</x:v>
      </x:c>
      <x:c r="K4" s="8" t="str">
        <x:v>종합점수</x:v>
      </x:c>
      <x:c r="L4" s="8" t="str">
        <x:v>우선 액션</x:v>
      </x:c>
      <x:c r="M4" s="11"/>
      <x:c r="N4" s="11" t="str">
        <x:v>트렌드</x:v>
      </x:c>
      <x:c r="O4" s="11" t="str">
        <x:v>점수</x:v>
      </x:c>
      <x:c r="P4" s="11"/>
      <x:c r="Q4" s="11"/>
      <x:c r="R4" s="11"/>
      <x:c r="S4" s="11"/>
      <x:c r="T4" s="11"/>
      <x:c r="U4" s="11"/>
    </x:row>
    <x:row r="5" ht="39.599998474121094" hidden="0" customHeight="1">
      <x:c r="A5" s="12" t="n">
        <x:v>1</x:v>
      </x:c>
      <x:c r="B5" s="11" t="str">
        <x:v>혼웰식·한그릇 건강식</x:v>
      </x:c>
      <x:c r="C5" s="11" t="str">
        <x:v>웰니스+편의</x:v>
      </x:c>
      <x:c r="D5" s="11" t="str">
        <x:v>1인 가구 증가와 건강지향이 결합해 덮밥, 비빔밥, 샐러드, 샌드위치 등 원보울·원디쉬 포맷이 성장.</x:v>
      </x:c>
      <x:c r="E5" s="11" t="str">
        <x:v>검색 직접 순위 없음; 검색 데이터상 건강식/식사 카테고리 분산 성장</x:v>
      </x:c>
      <x:c r="F5" s="11" t="str">
        <x:v>2024년 1인가구 804.5만 가구, 전체 36.1%; 2022~2025 덮밥 +8.2%, 비빔밥 +13.7%, 샐러드 +22.2%</x:v>
      </x:c>
      <x:c r="G5" s="11" t="str">
        <x:v>확인</x:v>
      </x:c>
      <x:c r="H5" s="11" t="str">
        <x:v>S10, S11, S01</x:v>
      </x:c>
      <x:c r="I5" s="11" t="str">
        <x:v>1인분 영양 균형 도시락, 고단백 샐러드, 원보울 HMR, 직장인 식단 구독</x:v>
      </x:c>
      <x:c r="J5" s="11" t="str">
        <x:v>혼웰식 자체는 트렌드 명칭이므로 실제 제품화는 세부 메뉴/채널 데이터로 재검증 필요</x:v>
      </x:c>
      <x:c r="K5" s="12" t="n">
        <x:f>'키워드_딥서치'!N5</x:f>
        <x:v>23</x:v>
      </x:c>
      <x:c r="L5" s="11" t="str">
        <x:v>즉시 검증</x:v>
      </x:c>
      <x:c r="M5" s="11"/>
      <x:c r="N5" s="11" t="str">
        <x:v>혼웰식·한그릇 건강식</x:v>
      </x:c>
      <x:c r="O5" s="11" t="n">
        <x:f>K5</x:f>
        <x:v>23</x:v>
      </x:c>
      <x:c r="P5" s="11"/>
      <x:c r="Q5" s="11"/>
      <x:c r="R5" s="11"/>
      <x:c r="S5" s="11"/>
      <x:c r="T5" s="11"/>
      <x:c r="U5" s="11"/>
    </x:row>
    <x:row r="6" ht="39.599998474121094" hidden="0" customHeight="1">
      <x:c r="A6" s="12" t="n">
        <x:v>2</x:v>
      </x:c>
      <x:c r="B6" s="11" t="str">
        <x:v>저당·혈당관리·로우스펙</x:v>
      </x:c>
      <x:c r="C6" s="11" t="str">
        <x:v>건강/규제</x:v>
      </x:c>
      <x:c r="D6" s="11" t="str">
        <x:v>당류 저감과 혈당관리 관심이 정책, 검색, 제품 출시로 동시에 확인됨.</x:v>
      </x:c>
      <x:c r="E6" s="11" t="str">
        <x:v>ListeningMind 최근 6개월 급증 건강 키워드 예시: 저당 팝콘</x:v>
      </x:c>
      <x:c r="F6" s="11" t="str">
        <x:v>2026~2028 영양표시 259개 품목 확대; 2026년 설탕 부담금 논의와 가공식품 표시 규제 확대</x:v>
      </x:c>
      <x:c r="G6" s="11" t="str">
        <x:v>확인</x:v>
      </x:c>
      <x:c r="H6" s="11" t="str">
        <x:v>S07, S08, S09, S01, S15</x:v>
      </x:c>
      <x:c r="I6" s="11" t="str">
        <x:v>저당 간식, 알룰로스/대체당 소스, 혈당관리형 곡물·음료, 영양표시 대응 패키지</x:v>
      </x:c>
      <x:c r="J6" s="11" t="str">
        <x:v>설탕 부담금은 2026년 7월 현재 도입 확정이 아닌 논의/발의 단계</x:v>
      </x:c>
      <x:c r="K6" s="12" t="n">
        <x:f>'키워드_딥서치'!N6</x:f>
        <x:v>24</x:v>
      </x:c>
      <x:c r="L6" s="11" t="str">
        <x:v>즉시 검증</x:v>
      </x:c>
      <x:c r="M6" s="11"/>
      <x:c r="N6" s="11" t="str">
        <x:v>저당·혈당관리·로우스펙</x:v>
      </x:c>
      <x:c r="O6" s="11" t="n">
        <x:f>K6</x:f>
        <x:v>24</x:v>
      </x:c>
      <x:c r="P6" s="11"/>
      <x:c r="Q6" s="11"/>
      <x:c r="R6" s="11"/>
      <x:c r="S6" s="11"/>
      <x:c r="T6" s="11"/>
      <x:c r="U6" s="11"/>
    </x:row>
    <x:row r="7" ht="39.599998474121094" hidden="0" customHeight="1">
      <x:c r="A7" s="12" t="n">
        <x:v>3</x:v>
      </x:c>
      <x:c r="B7" s="11" t="str">
        <x:v>간편식 HMR·냉동 프리미엄</x:v>
      </x:c>
      <x:c r="C7" s="11" t="str">
        <x:v>편의/프리미엄</x:v>
      </x:c>
      <x:c r="D7" s="11" t="str">
        <x:v>간편식 시장은 성숙기에 들어섰지만 가성비 즉석섭취식과 건강·미식형 RMR/프리미엄 냉동이 함께 성장.</x:v>
      </x:c>
      <x:c r="E7" s="11" t="str">
        <x:v>검색 직접 순위 없음; 식사/건강식 탐색 증가와 연계</x:v>
      </x:c>
      <x:c r="F7" s="11" t="str">
        <x:v>2024년 간편식 국내 판매액 7조 2,606억 원, 2026년 7조 5천억 원 전망; 즉석조리 40.7%, 즉석섭취 38.3%</x:v>
      </x:c>
      <x:c r="G7" s="11" t="str">
        <x:v>확인</x:v>
      </x:c>
      <x:c r="H7" s="11" t="str">
        <x:v>S01, S02, S15, S11</x:v>
      </x:c>
      <x:c r="I7" s="11" t="str">
        <x:v>냉동 국·탕·찌개, 건강 도시락, 유명 맛집 RMR, 단백질 강화 간편식</x:v>
      </x:c>
      <x:c r="J7" s="11" t="str">
        <x:v>밀키트/간편조리세트는 일부 하락 신호가 있어 냉동·즉석섭취 중심으로 구분 필요</x:v>
      </x:c>
      <x:c r="K7" s="12" t="n">
        <x:f>'키워드_딥서치'!N7</x:f>
        <x:v>23</x:v>
      </x:c>
      <x:c r="L7" s="11" t="str">
        <x:v>즉시 검증</x:v>
      </x:c>
      <x:c r="M7" s="11"/>
      <x:c r="N7" s="11" t="str">
        <x:v>간편식 HMR·냉동 프리미엄</x:v>
      </x:c>
      <x:c r="O7" s="11" t="n">
        <x:f>K7</x:f>
        <x:v>23</x:v>
      </x:c>
      <x:c r="P7" s="11"/>
      <x:c r="Q7" s="11"/>
      <x:c r="R7" s="11"/>
      <x:c r="S7" s="11"/>
      <x:c r="T7" s="11"/>
      <x:c r="U7" s="11"/>
    </x:row>
    <x:row r="8" ht="39.599998474121094" hidden="0" customHeight="1">
      <x:c r="A8" s="12" t="n">
        <x:v>4</x:v>
      </x:c>
      <x:c r="B8" s="11" t="str">
        <x:v>단백질·식이섬유·장건강</x:v>
      </x:c>
      <x:c r="C8" s="11" t="str">
        <x:v>기능성 식품</x:v>
      </x:c>
      <x:c r="D8" s="11" t="str">
        <x:v>단백질이 기본 옵션화되고, 식이섬유/프로바이오틱스/프리바이오틱스가 포만감·장건강·체중관리와 결합.</x:v>
      </x:c>
      <x:c r="E8" s="11" t="str">
        <x:v>검색 직접 순위 없음; 건강식/저당 검색 구조와 결합</x:v>
      </x:c>
      <x:c r="F8" s="11" t="str">
        <x:v>글로벌 소비자 63%가 식이섬유 섭취를 늘린다는 보도; 2026 트렌드에서 장건강+단백질 결합 강조</x:v>
      </x:c>
      <x:c r="G8" s="11" t="str">
        <x:v>보조 확인</x:v>
      </x:c>
      <x:c r="H8" s="11" t="str">
        <x:v>S13, S11, S09</x:v>
      </x:c>
      <x:c r="I8" s="11" t="str">
        <x:v>고단백 디저트, 식이섬유 음료, 장건강 스낵, 포스트바이오틱스 국물 간편식</x:v>
      </x:c>
      <x:c r="J8" s="11" t="str">
        <x:v>국내 개별 시장규모는 추가 유료/전문 데이터 확인 필요</x:v>
      </x:c>
      <x:c r="K8" s="12" t="n">
        <x:f>'키워드_딥서치'!N8</x:f>
        <x:v>20</x:v>
      </x:c>
      <x:c r="L8" s="11" t="str">
        <x:v>즉시 검증</x:v>
      </x:c>
      <x:c r="M8" s="11"/>
      <x:c r="N8" s="11" t="str">
        <x:v>단백질·식이섬유·장건강</x:v>
      </x:c>
      <x:c r="O8" s="11" t="n">
        <x:f>K8</x:f>
        <x:v>20</x:v>
      </x:c>
      <x:c r="P8" s="11"/>
      <x:c r="Q8" s="11"/>
      <x:c r="R8" s="11"/>
      <x:c r="S8" s="11"/>
      <x:c r="T8" s="11"/>
      <x:c r="U8" s="11"/>
    </x:row>
    <x:row r="9" ht="52.79999923706055" hidden="0" customHeight="1">
      <x:c r="A9" s="12" t="n">
        <x:v>5</x:v>
      </x:c>
      <x:c r="B9" s="11" t="str">
        <x:v>AI 맞춤영양·푸드테크 제조</x:v>
      </x:c>
      <x:c r="C9" s="11" t="str">
        <x:v>푸드테크</x:v>
      </x:c>
      <x:c r="D9" s="11" t="str">
        <x:v>푸드테크산업육성법 시행 이후 2026년은 데이터 표준화, 스마트제조, AI 맞춤식단, 로봇/외식 혁신의 제도화 원년.</x:v>
      </x:c>
      <x:c r="E9" s="11" t="str">
        <x:v>검색 직접 순위 없음; B2AI/AI 식단은 외식 트렌드 자료에서 반복 등장</x:v>
      </x:c>
      <x:c r="F9" s="11" t="str">
        <x:v>국내 푸드테크 시장규모 2020년 50조 1,553억 원 -&gt; 2024년 96조 2,332억 원, 연평균 17.7%</x:v>
      </x:c>
      <x:c r="G9" s="11" t="str">
        <x:v>확인</x:v>
      </x:c>
      <x:c r="H9" s="11" t="str">
        <x:v>S01, S02, S03, S04, S06</x:v>
      </x:c>
      <x:c r="I9" s="11" t="str">
        <x:v>공장 역량 DB, AI 레시피/원가 산출, 스마트제조 매칭, 개인맞춤 식단 서비스</x:v>
      </x:c>
      <x:c r="J9" s="11" t="str">
        <x:v>AI 키워드는 기술 가능성 대비 실제 식품 구매 전환 검증이 필요</x:v>
      </x:c>
      <x:c r="K9" s="12" t="n">
        <x:f>'키워드_딥서치'!N9</x:f>
        <x:v>22</x:v>
      </x:c>
      <x:c r="L9" s="11" t="str">
        <x:v>파일럿</x:v>
      </x:c>
      <x:c r="M9" s="11"/>
      <x:c r="N9" s="11" t="str">
        <x:v>AI 맞춤영양·푸드테크 제조</x:v>
      </x:c>
      <x:c r="O9" s="11" t="n">
        <x:f>K9</x:f>
        <x:v>22</x:v>
      </x:c>
      <x:c r="P9" s="11"/>
      <x:c r="Q9" s="11"/>
      <x:c r="R9" s="11"/>
      <x:c r="S9" s="11"/>
      <x:c r="T9" s="11"/>
      <x:c r="U9" s="11"/>
    </x:row>
    <x:row r="10" ht="52.79999923706055" hidden="0" customHeight="1">
      <x:c r="A10" s="12" t="n">
        <x:v>6</x:v>
      </x:c>
      <x:c r="B10" s="11" t="str">
        <x:v>K-푸드 수출·라면·쌀가공</x:v>
      </x:c>
      <x:c r="C10" s="11" t="str">
        <x:v>수출/글로벌</x:v>
      </x:c>
      <x:c r="D10" s="11" t="str">
        <x:v>K-푸드 수출이 기록 경신 국면에서 시장 다변화와 수출 구조 고도화 단계로 이동.</x:v>
      </x:c>
      <x:c r="E10" s="11" t="str">
        <x:v>검색 직접 순위 없음; K-푸드 검색/관광 수요와 별도 검증 필요</x:v>
      </x:c>
      <x:c r="F10" s="11" t="str">
        <x:v>2025년 K-푸드+ 수출 136.2억 달러, 농식품 104.1억 달러; 2026년 목표 160억 달러. RICE SHOW 2026은 글루텐프리·식물성·전통 가공 조명.</x:v>
      </x:c>
      <x:c r="G10" s="11" t="str">
        <x:v>확인</x:v>
      </x:c>
      <x:c r="H10" s="11" t="str">
        <x:v>S14, S05, S06, S01</x:v>
      </x:c>
      <x:c r="I10" s="11" t="str">
        <x:v>라면/소스/쌀가공 수출형 제품, 글루텐프리 떡·면, 할랄/현지 인증 대응</x:v>
      </x:c>
      <x:c r="J10" s="11" t="str">
        <x:v>수출 실적은 2025년 확정/잠정치, 2026년 수치는 목표 또는 1분기 일부 실적</x:v>
      </x:c>
      <x:c r="K10" s="12" t="n">
        <x:f>'키워드_딥서치'!N10</x:f>
        <x:v>23</x:v>
      </x:c>
      <x:c r="L10" s="11" t="str">
        <x:v>파일럿</x:v>
      </x:c>
      <x:c r="M10" s="11"/>
      <x:c r="N10" s="11" t="str">
        <x:v>K-푸드 수출·라면·쌀가공</x:v>
      </x:c>
      <x:c r="O10" s="11" t="n">
        <x:f>K10</x:f>
        <x:v>23</x:v>
      </x:c>
      <x:c r="P10" s="11"/>
      <x:c r="Q10" s="11"/>
      <x:c r="R10" s="11"/>
      <x:c r="S10" s="11"/>
      <x:c r="T10" s="11"/>
      <x:c r="U10" s="11"/>
    </x:row>
    <x:row r="11" ht="39.599998474121094" hidden="0" customHeight="1">
      <x:c r="A11" s="12" t="n">
        <x:v>7</x:v>
      </x:c>
      <x:c r="B11" s="11" t="str">
        <x:v>온라인 식품·D2C·퀵커머스</x:v>
      </x:c>
      <x:c r="C11" s="11" t="str">
        <x:v>유통</x:v>
      </x:c>
      <x:c r="D11" s="11" t="str">
        <x:v>온라인 식품시장은 코로나 이후 회귀하지 않고 신선식품·간편식까지 구조적으로 확대.</x:v>
      </x:c>
      <x:c r="E11" s="11" t="str">
        <x:v>검색 직접 순위 없음; 소비 접근성/구매채널 데이터로 보완</x:v>
      </x:c>
      <x:c r="F11" s="11" t="str">
        <x:v>식품 온라인 거래액 비중 2019년 12.6% -&gt; 2025년 19.1%; 2025년 온라인 전체 시장 275조 원</x:v>
      </x:c>
      <x:c r="G11" s="11" t="str">
        <x:v>확인</x:v>
      </x:c>
      <x:c r="H11" s="11" t="str">
        <x:v>S01, S02</x:v>
      </x:c>
      <x:c r="I11" s="11" t="str">
        <x:v>D2C몰, 구독형 식단, 신선/냉동 배송, 리뷰 기반 상품개선</x:v>
      </x:c>
      <x:c r="J11" s="11" t="str">
        <x:v>플랫폼 수수료, 정산, 품질/진위 확인 리스크 관리 필요</x:v>
      </x:c>
      <x:c r="K11" s="12" t="n">
        <x:f>'키워드_딥서치'!N11</x:f>
        <x:v>20</x:v>
      </x:c>
      <x:c r="L11" s="11" t="str">
        <x:v>파일럿</x:v>
      </x:c>
      <x:c r="M11" s="11"/>
      <x:c r="N11" s="11" t="str">
        <x:v>온라인 식품·D2C·퀵커머스</x:v>
      </x:c>
      <x:c r="O11" s="11" t="n">
        <x:f>K11</x:f>
        <x:v>20</x:v>
      </x:c>
      <x:c r="P11" s="11"/>
      <x:c r="Q11" s="11"/>
      <x:c r="R11" s="11"/>
      <x:c r="S11" s="11"/>
      <x:c r="T11" s="11"/>
      <x:c r="U11" s="11"/>
    </x:row>
    <x:row r="12" ht="39.599998474121094" hidden="0" customHeight="1">
      <x:c r="A12" s="12" t="n">
        <x:v>8</x:v>
      </x:c>
      <x:c r="B12" s="11" t="str">
        <x:v>고령친화식품·케어푸드</x:v>
      </x:c>
      <x:c r="C12" s="11" t="str">
        <x:v>시니어/헬스케어</x:v>
      </x:c>
      <x:c r="D12" s="11" t="str">
        <x:v>초고령사회 진입과 시설/B2B 수요 증가로 고령친화식품이 식품산업의 새 성장축으로 부상.</x:v>
      </x:c>
      <x:c r="E12" s="11" t="str">
        <x:v>검색 직접 순위 없음; FIS 2026년 4월 트렌드 Pick 주제</x:v>
      </x:c>
      <x:c r="F12" s="11" t="str">
        <x:v>늘편푸드 매출 2021년 2.3억 원 -&gt; 2025년 127.87억 원; 제품 수 27개 -&gt; 268개 누적</x:v>
      </x:c>
      <x:c r="G12" s="11" t="str">
        <x:v>확인</x:v>
      </x:c>
      <x:c r="H12" s="11" t="str">
        <x:v>S12, S15</x:v>
      </x:c>
      <x:c r="I12" s="11" t="str">
        <x:v>연화식, 단백질 강화 반찬, 구독형 케어푸드, 돌봄기관 B2B 납품</x:v>
      </x:c>
      <x:c r="J12" s="11" t="str">
        <x:v>전체 케어푸드 시장과 고령친화우수식품 지정 시장은 범위가 다름</x:v>
      </x:c>
      <x:c r="K12" s="12" t="n">
        <x:f>'키워드_딥서치'!N12</x:f>
        <x:v>20</x:v>
      </x:c>
      <x:c r="L12" s="11" t="str">
        <x:v>파일럿</x:v>
      </x:c>
      <x:c r="M12" s="11"/>
      <x:c r="N12" s="11" t="str">
        <x:v>고령친화식품·케어푸드</x:v>
      </x:c>
      <x:c r="O12" s="11" t="n">
        <x:f>K12</x:f>
        <x:v>20</x:v>
      </x:c>
      <x:c r="P12" s="11"/>
      <x:c r="Q12" s="11"/>
      <x:c r="R12" s="11"/>
      <x:c r="S12" s="11"/>
      <x:c r="T12" s="11"/>
      <x:c r="U12" s="11"/>
    </x:row>
    <x:row r="13" ht="66" hidden="0" customHeight="1">
      <x:c r="A13" s="12" t="n">
        <x:v>9</x:v>
      </x:c>
      <x:c r="B13" s="11" t="str">
        <x:v>피스타치오·두바이쫀득쿠키·비주얼 디저트</x:v>
      </x:c>
      <x:c r="C13" s="11" t="str">
        <x:v>마이크로 트렌드</x:v>
      </x:c>
      <x:c r="D13" s="11" t="str">
        <x:v>SNS형 디저트와 재료 검색이 결합해 메뉴명, 재료, 만들기/레시피, 브랜드 검색으로 확산.</x:v>
      </x:c>
      <x:c r="E13" s="11" t="str">
        <x:v>ListeningMind 최근 6개월 급증 키워드 예시: 두바이쫀득쿠키, 피스타치오</x:v>
      </x:c>
      <x:c r="F13" s="11" t="str">
        <x:v>푸드 논브랜드 키워드 100개 기준 연간 약 19억 회, 월평균 약 1.5억 회 검색 규모 안에서 급증 키워드로 공개 언급</x:v>
      </x:c>
      <x:c r="G13" s="11" t="str">
        <x:v>확인</x:v>
      </x:c>
      <x:c r="H13" s="11" t="str">
        <x:v>S09</x:v>
      </x:c>
      <x:c r="I13" s="11" t="str">
        <x:v>피스타치오 디저트, 쿠키/베이커리 한정판, 편의점 협업 상품</x:v>
      </x:c>
      <x:c r="J13" s="11" t="str">
        <x:v>급상승 마이크로 트렌드는 수명 짧을 수 있어 재고/생산량 보수적 설계 필요</x:v>
      </x:c>
      <x:c r="K13" s="12" t="n">
        <x:f>'키워드_딥서치'!N13</x:f>
        <x:v>20</x:v>
      </x:c>
      <x:c r="L13" s="11" t="str">
        <x:v>관찰</x:v>
      </x:c>
      <x:c r="M13" s="11"/>
      <x:c r="N13" s="11" t="str">
        <x:v>피스타치오·두바이쫀득쿠키·비주얼 디저트</x:v>
      </x:c>
      <x:c r="O13" s="11" t="n">
        <x:f>K13</x:f>
        <x:v>20</x:v>
      </x:c>
      <x:c r="P13" s="11"/>
      <x:c r="Q13" s="11"/>
      <x:c r="R13" s="11"/>
      <x:c r="S13" s="11"/>
      <x:c r="T13" s="11"/>
      <x:c r="U13" s="11"/>
    </x:row>
    <x:row r="14" ht="52.79999923706055" hidden="0" customHeight="1">
      <x:c r="A14" s="12" t="n">
        <x:v>10</x:v>
      </x:c>
      <x:c r="B14" s="11" t="str">
        <x:v>봄동비빔밥·굴무침·제철 한식</x:v>
      </x:c>
      <x:c r="C14" s="11" t="str">
        <x:v>로컬/제철</x:v>
      </x:c>
      <x:c r="D14" s="11" t="str">
        <x:v>한식 및 제철 식재료 검색이 건강식·집밥·레시피 수요와 함께 상승.</x:v>
      </x:c>
      <x:c r="E14" s="11" t="str">
        <x:v>ListeningMind 최근 6개월 급증 키워드 예시: 봄동비빔밥, 굴무침</x:v>
      </x:c>
      <x:c r="F14" s="11" t="str">
        <x:v>30대는 레시피/반찬/가정식, 50대 이상은 전통식/건강식 중심 검색 패턴</x:v>
      </x:c>
      <x:c r="G14" s="11" t="str">
        <x:v>확인</x:v>
      </x:c>
      <x:c r="H14" s="11" t="str">
        <x:v>S09, S11</x:v>
      </x:c>
      <x:c r="I14" s="11" t="str">
        <x:v>제철 반찬 HMR, 지역 식재료 비빔밥, 로컬 소스/양념 키트</x:v>
      </x:c>
      <x:c r="J14" s="11" t="str">
        <x:v>제철성 강해 시즌 캘린더와 원물 수급 리스크 반영 필요</x:v>
      </x:c>
      <x:c r="K14" s="12" t="n">
        <x:f>'키워드_딥서치'!N14</x:f>
        <x:v>19</x:v>
      </x:c>
      <x:c r="L14" s="11" t="str">
        <x:v>관찰</x:v>
      </x:c>
      <x:c r="M14" s="11"/>
      <x:c r="N14" s="11" t="str">
        <x:v>봄동비빔밥·굴무침·제철 한식</x:v>
      </x:c>
      <x:c r="O14" s="11" t="n">
        <x:f>K14</x:f>
        <x:v>19</x:v>
      </x:c>
      <x:c r="P14" s="11"/>
      <x:c r="Q14" s="11"/>
      <x:c r="R14" s="11"/>
      <x:c r="S14" s="11"/>
      <x:c r="T14" s="11"/>
      <x:c r="U14" s="11"/>
    </x:row>
    <x:row r="15" ht="52.79999923706055" hidden="0" customHeight="1">
      <x:c r="A15" s="12" t="n">
        <x:v>11</x:v>
      </x:c>
      <x:c r="B15" s="11" t="str">
        <x:v>클린라벨·영양표시·GMO/카페인 표시</x:v>
      </x:c>
      <x:c r="C15" s="11" t="str">
        <x:v>규제/투명성</x:v>
      </x:c>
      <x:c r="D15" s="11" t="str">
        <x:v>소비자 알권리 강화와 건강/안전 중심 정책 전환으로 라벨링, 원료 이력, 표시 대응이 상품 경쟁력에 포함.</x:v>
      </x:c>
      <x:c r="E15" s="11" t="str">
        <x:v>검색 직접 순위 없음; 정책 리스크 기반 트렌드</x:v>
      </x:c>
      <x:c r="F15" s="11" t="str">
        <x:v>영양표시 259개 품목 확대, 과라나 함유 고체식품 고카페인 주의문구 확대, 당알코올 표시 강화</x:v>
      </x:c>
      <x:c r="G15" s="11" t="str">
        <x:v>확인</x:v>
      </x:c>
      <x:c r="H15" s="11" t="str">
        <x:v>S07, S08, S01</x:v>
      </x:c>
      <x:c r="I15" s="11" t="str">
        <x:v>영양성분 자동 산출, 클린라벨 원료, 표시 검수 서비스, 제조 이력 관리</x:v>
      </x:c>
      <x:c r="J15" s="11" t="str">
        <x:v>GMO 완전표시제 등 일부 세부 시행은 하위 규정 확인 필요</x:v>
      </x:c>
      <x:c r="K15" s="12" t="n">
        <x:f>'키워드_딥서치'!N15</x:f>
        <x:v>20</x:v>
      </x:c>
      <x:c r="L15" s="11" t="str">
        <x:v>관찰</x:v>
      </x:c>
      <x:c r="M15" s="11"/>
      <x:c r="N15" s="11" t="str">
        <x:v>클린라벨·영양표시·GMO/카페인 표시</x:v>
      </x:c>
      <x:c r="O15" s="11" t="n">
        <x:f>K15</x:f>
        <x:v>20</x:v>
      </x:c>
      <x:c r="P15" s="11"/>
      <x:c r="Q15" s="11"/>
      <x:c r="R15" s="11"/>
      <x:c r="S15" s="11"/>
      <x:c r="T15" s="11"/>
      <x:c r="U15" s="11"/>
    </x:row>
    <x:row r="16" ht="39.599998474121094" hidden="0" customHeight="1">
      <x:c r="A16" s="12" t="n">
        <x:v>12</x:v>
      </x:c>
      <x:c r="B16" s="11" t="str">
        <x:v>소용량·가성비·PB 프리미엄</x:v>
      </x:c>
      <x:c r="C16" s="11" t="str">
        <x:v>가격/패키징</x:v>
      </x:c>
      <x:c r="D16" s="11" t="str">
        <x:v>고물가 대응 소비와 1인/소가구 증가가 소용량 포장, 가성비 즉석식, PB 프리미엄화를 밀어올림.</x:v>
      </x:c>
      <x:c r="E16" s="11" t="str">
        <x:v>검색 직접 순위 없음; KATI/KREI 이슈로 보완</x:v>
      </x:c>
      <x:c r="F16" s="11" t="str">
        <x:v>KATI 2026 전망에 소용량 포장 및 친환경 혁신 포함; KREI는 고물가와 간편식 양극화 지적</x:v>
      </x:c>
      <x:c r="G16" s="11" t="str">
        <x:v>확인</x:v>
      </x:c>
      <x:c r="H16" s="11" t="str">
        <x:v>S03, S01, S02</x:v>
      </x:c>
      <x:c r="I16" s="11" t="str">
        <x:v>소용량 냉동식, 1인용 소스/조미료, PB 건강 간편식, 친환경 패키징</x:v>
      </x:c>
      <x:c r="J16" s="11" t="str">
        <x:v>가성비와 친환경 포장은 원가 상승과 충돌할 수 있어 가격 민감도 테스트 필요</x:v>
      </x:c>
      <x:c r="K16" s="12" t="n">
        <x:f>'키워드_딥서치'!N16</x:f>
        <x:v>18</x:v>
      </x:c>
      <x:c r="L16" s="11" t="str">
        <x:v>관찰</x:v>
      </x:c>
      <x:c r="M16" s="11"/>
      <x:c r="N16" s="11" t="str">
        <x:v>소용량·가성비·PB 프리미엄</x:v>
      </x:c>
      <x:c r="O16" s="11" t="n">
        <x:f>K16</x:f>
        <x:v>18</x:v>
      </x:c>
      <x:c r="P16" s="11"/>
      <x:c r="Q16" s="11"/>
      <x:c r="R16" s="11"/>
      <x:c r="S16" s="11"/>
      <x:c r="T16" s="11"/>
      <x:c r="U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</x:row>
    <x:row r="19" ht="15" hidden="0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</x:row>
    <x:row r="20" ht="15" hidden="0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</x:row>
  </x:sheetData>
  <x:mergeCells>
    <x:mergeCell ref="A1:L1"/>
    <x:mergeCell ref="A2:L2"/>
  </x:mergeCells>
  <x:conditionalFormatting sqref="G5:G16">
    <x:cfRule type="containsText" dxfId="0" priority="1" operator="containsText" text="확인"/>
    <x:cfRule type="containsText" dxfId="1" priority="2" operator="containsText" text="보조"/>
  </x:conditionalFormatting>
  <x:pageMargins left="0.7" right="0.7" top="0.75" bottom="0.75" header="0.3" footer="0.3"/>
  <x:drawing xmlns:r="http://schemas.openxmlformats.org/officeDocument/2006/relationships" r:id="R4556aca09905409f"/>
  <x:legacyDrawing xmlns:r="http://schemas.openxmlformats.org/officeDocument/2006/relationships" r:id="R4c07206a3c1746d4"/>
  <x:tableParts count="1">
    <x:tablePart xmlns:r="http://schemas.openxmlformats.org/officeDocument/2006/relationships" r:id="R8037550c6f2242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14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16.799999237060547" hidden="0" customHeight="1">
      <x:c r="A1" s="10" t="str">
        <x:v>키워드별 딥서치: 검색 신호, 시장 데이터, 출처, 상품화 관점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</x:row>
    <x:row r="2" ht="15" hidden="0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15" hidden="0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 ht="15" hidden="0" customHeight="1">
      <x:c r="A4" s="8" t="str">
        <x:v>종합순위</x:v>
      </x:c>
      <x:c r="B4" s="8" t="str">
        <x:v>트렌드 키워드</x:v>
      </x:c>
      <x:c r="C4" s="8" t="str">
        <x:v>분류</x:v>
      </x:c>
      <x:c r="D4" s="8" t="str">
        <x:v>핵심 신호</x:v>
      </x:c>
      <x:c r="E4" s="8" t="str">
        <x:v>검색량/인텐트 근거</x:v>
      </x:c>
      <x:c r="F4" s="8" t="str">
        <x:v>핵심 데이터</x:v>
      </x:c>
      <x:c r="G4" s="8" t="str">
        <x:v>팩트체크</x:v>
      </x:c>
      <x:c r="H4" s="8" t="str">
        <x:v>출처ID</x:v>
      </x:c>
      <x:c r="I4" s="8" t="str">
        <x:v>상품/사업 기회</x:v>
      </x:c>
      <x:c r="J4" s="8" t="str">
        <x:v>주의점</x:v>
      </x:c>
      <x:c r="K4" s="8" t="str">
        <x:v>검색점수</x:v>
      </x:c>
      <x:c r="L4" s="8" t="str">
        <x:v>시장점수</x:v>
      </x:c>
      <x:c r="M4" s="8" t="str">
        <x:v>뉴스점수</x:v>
      </x:c>
      <x:c r="N4" s="8" t="str">
        <x:v>종합점수</x:v>
      </x:c>
      <x:c r="O4" s="8" t="str">
        <x:v>신뢰도점수</x:v>
      </x:c>
      <x:c r="P4" s="8" t="str">
        <x:v>상업화점수</x:v>
      </x:c>
    </x:row>
    <x:row r="5" ht="39.599998474121094" hidden="0" customHeight="1">
      <x:c r="A5" s="11" t="n">
        <x:v>1</x:v>
      </x:c>
      <x:c r="B5" s="11" t="str">
        <x:v>혼웰식·한그릇 건강식</x:v>
      </x:c>
      <x:c r="C5" s="11" t="str">
        <x:v>웰니스+편의</x:v>
      </x:c>
      <x:c r="D5" s="11" t="str">
        <x:v>1인 가구 증가와 건강지향이 결합해 덮밥, 비빔밥, 샐러드, 샌드위치 등 원보울·원디쉬 포맷이 성장.</x:v>
      </x:c>
      <x:c r="E5" s="11" t="str">
        <x:v>검색 직접 순위 없음; 검색 데이터상 건강식/식사 카테고리 분산 성장</x:v>
      </x:c>
      <x:c r="F5" s="11" t="str">
        <x:v>2024년 1인가구 804.5만 가구, 전체 36.1%; 2022~2025 덮밥 +8.2%, 비빔밥 +13.7%, 샐러드 +22.2%</x:v>
      </x:c>
      <x:c r="G5" s="11" t="str">
        <x:v>확인</x:v>
      </x:c>
      <x:c r="H5" s="11" t="str">
        <x:v>S10, S11, S01</x:v>
      </x:c>
      <x:c r="I5" s="11" t="str">
        <x:v>1인분 영양 균형 도시락, 고단백 샐러드, 원보울 HMR, 직장인 식단 구독</x:v>
      </x:c>
      <x:c r="J5" s="11" t="str">
        <x:v>혼웰식 자체는 트렌드 명칭이므로 실제 제품화는 세부 메뉴/채널 데이터로 재검증 필요</x:v>
      </x:c>
      <x:c r="K5" s="12" t="n">
        <x:v>4</x:v>
      </x:c>
      <x:c r="L5" s="12" t="n">
        <x:v>5</x:v>
      </x:c>
      <x:c r="M5" s="12" t="n">
        <x:v>5</x:v>
      </x:c>
      <x:c r="N5" s="12" t="n">
        <x:f>K5+L5+M5+O5+P5</x:f>
        <x:v>23</x:v>
      </x:c>
      <x:c r="O5" s="12" t="n">
        <x:v>4</x:v>
      </x:c>
      <x:c r="P5" s="12" t="n">
        <x:v>5</x:v>
      </x:c>
    </x:row>
    <x:row r="6" ht="39.599998474121094" hidden="0" customHeight="1">
      <x:c r="A6" s="11" t="n">
        <x:v>2</x:v>
      </x:c>
      <x:c r="B6" s="11" t="str">
        <x:v>저당·혈당관리·로우스펙</x:v>
      </x:c>
      <x:c r="C6" s="11" t="str">
        <x:v>건강/규제</x:v>
      </x:c>
      <x:c r="D6" s="11" t="str">
        <x:v>당류 저감과 혈당관리 관심이 정책, 검색, 제품 출시로 동시에 확인됨.</x:v>
      </x:c>
      <x:c r="E6" s="11" t="str">
        <x:v>ListeningMind 최근 6개월 급증 건강 키워드 예시: 저당 팝콘</x:v>
      </x:c>
      <x:c r="F6" s="11" t="str">
        <x:v>2026~2028 영양표시 259개 품목 확대; 2026년 설탕 부담금 논의와 가공식품 표시 규제 확대</x:v>
      </x:c>
      <x:c r="G6" s="11" t="str">
        <x:v>확인</x:v>
      </x:c>
      <x:c r="H6" s="11" t="str">
        <x:v>S07, S08, S09, S01, S15</x:v>
      </x:c>
      <x:c r="I6" s="11" t="str">
        <x:v>저당 간식, 알룰로스/대체당 소스, 혈당관리형 곡물·음료, 영양표시 대응 패키지</x:v>
      </x:c>
      <x:c r="J6" s="11" t="str">
        <x:v>설탕 부담금은 2026년 7월 현재 도입 확정이 아닌 논의/발의 단계</x:v>
      </x:c>
      <x:c r="K6" s="12" t="n">
        <x:v>5</x:v>
      </x:c>
      <x:c r="L6" s="12" t="n">
        <x:v>4</x:v>
      </x:c>
      <x:c r="M6" s="12" t="n">
        <x:v>5</x:v>
      </x:c>
      <x:c r="N6" s="12" t="n">
        <x:f>K6+L6+M6+O6+P6</x:f>
        <x:v>24</x:v>
      </x:c>
      <x:c r="O6" s="12" t="n">
        <x:v>5</x:v>
      </x:c>
      <x:c r="P6" s="12" t="n">
        <x:v>5</x:v>
      </x:c>
    </x:row>
    <x:row r="7" ht="39.599998474121094" hidden="0" customHeight="1">
      <x:c r="A7" s="11" t="n">
        <x:v>3</x:v>
      </x:c>
      <x:c r="B7" s="11" t="str">
        <x:v>간편식 HMR·냉동 프리미엄</x:v>
      </x:c>
      <x:c r="C7" s="11" t="str">
        <x:v>편의/프리미엄</x:v>
      </x:c>
      <x:c r="D7" s="11" t="str">
        <x:v>간편식 시장은 성숙기에 들어섰지만 가성비 즉석섭취식과 건강·미식형 RMR/프리미엄 냉동이 함께 성장.</x:v>
      </x:c>
      <x:c r="E7" s="11" t="str">
        <x:v>검색 직접 순위 없음; 식사/건강식 탐색 증가와 연계</x:v>
      </x:c>
      <x:c r="F7" s="11" t="str">
        <x:v>2024년 간편식 국내 판매액 7조 2,606억 원, 2026년 7조 5천억 원 전망; 즉석조리 40.7%, 즉석섭취 38.3%</x:v>
      </x:c>
      <x:c r="G7" s="11" t="str">
        <x:v>확인</x:v>
      </x:c>
      <x:c r="H7" s="11" t="str">
        <x:v>S01, S02, S15, S11</x:v>
      </x:c>
      <x:c r="I7" s="11" t="str">
        <x:v>냉동 국·탕·찌개, 건강 도시락, 유명 맛집 RMR, 단백질 강화 간편식</x:v>
      </x:c>
      <x:c r="J7" s="11" t="str">
        <x:v>밀키트/간편조리세트는 일부 하락 신호가 있어 냉동·즉석섭취 중심으로 구분 필요</x:v>
      </x:c>
      <x:c r="K7" s="12" t="n">
        <x:v>3</x:v>
      </x:c>
      <x:c r="L7" s="12" t="n">
        <x:v>5</x:v>
      </x:c>
      <x:c r="M7" s="12" t="n">
        <x:v>5</x:v>
      </x:c>
      <x:c r="N7" s="12" t="n">
        <x:f>K7+L7+M7+O7+P7</x:f>
        <x:v>23</x:v>
      </x:c>
      <x:c r="O7" s="12" t="n">
        <x:v>5</x:v>
      </x:c>
      <x:c r="P7" s="12" t="n">
        <x:v>5</x:v>
      </x:c>
    </x:row>
    <x:row r="8" ht="52.79999923706055" hidden="0" customHeight="1">
      <x:c r="A8" s="11" t="n">
        <x:v>4</x:v>
      </x:c>
      <x:c r="B8" s="11" t="str">
        <x:v>단백질·식이섬유·장건강</x:v>
      </x:c>
      <x:c r="C8" s="11" t="str">
        <x:v>기능성 식품</x:v>
      </x:c>
      <x:c r="D8" s="11" t="str">
        <x:v>단백질이 기본 옵션화되고, 식이섬유/프로바이오틱스/프리바이오틱스가 포만감·장건강·체중관리와 결합.</x:v>
      </x:c>
      <x:c r="E8" s="11" t="str">
        <x:v>검색 직접 순위 없음; 건강식/저당 검색 구조와 결합</x:v>
      </x:c>
      <x:c r="F8" s="11" t="str">
        <x:v>글로벌 소비자 63%가 식이섬유 섭취를 늘린다는 보도; 2026 트렌드에서 장건강+단백질 결합 강조</x:v>
      </x:c>
      <x:c r="G8" s="11" t="str">
        <x:v>보조 확인</x:v>
      </x:c>
      <x:c r="H8" s="11" t="str">
        <x:v>S13, S11, S09</x:v>
      </x:c>
      <x:c r="I8" s="11" t="str">
        <x:v>고단백 디저트, 식이섬유 음료, 장건강 스낵, 포스트바이오틱스 국물 간편식</x:v>
      </x:c>
      <x:c r="J8" s="11" t="str">
        <x:v>국내 개별 시장규모는 추가 유료/전문 데이터 확인 필요</x:v>
      </x:c>
      <x:c r="K8" s="12" t="n">
        <x:v>3</x:v>
      </x:c>
      <x:c r="L8" s="12" t="n">
        <x:v>4</x:v>
      </x:c>
      <x:c r="M8" s="12" t="n">
        <x:v>4</x:v>
      </x:c>
      <x:c r="N8" s="12" t="n">
        <x:f>K8+L8+M8+O8+P8</x:f>
        <x:v>20</x:v>
      </x:c>
      <x:c r="O8" s="12" t="n">
        <x:v>4</x:v>
      </x:c>
      <x:c r="P8" s="12" t="n">
        <x:v>5</x:v>
      </x:c>
    </x:row>
    <x:row r="9" ht="52.79999923706055" hidden="0" customHeight="1">
      <x:c r="A9" s="11" t="n">
        <x:v>5</x:v>
      </x:c>
      <x:c r="B9" s="11" t="str">
        <x:v>AI 맞춤영양·푸드테크 제조</x:v>
      </x:c>
      <x:c r="C9" s="11" t="str">
        <x:v>푸드테크</x:v>
      </x:c>
      <x:c r="D9" s="11" t="str">
        <x:v>푸드테크산업육성법 시행 이후 2026년은 데이터 표준화, 스마트제조, AI 맞춤식단, 로봇/외식 혁신의 제도화 원년.</x:v>
      </x:c>
      <x:c r="E9" s="11" t="str">
        <x:v>검색 직접 순위 없음; B2AI/AI 식단은 외식 트렌드 자료에서 반복 등장</x:v>
      </x:c>
      <x:c r="F9" s="11" t="str">
        <x:v>국내 푸드테크 시장규모 2020년 50조 1,553억 원 -&gt; 2024년 96조 2,332억 원, 연평균 17.7%</x:v>
      </x:c>
      <x:c r="G9" s="11" t="str">
        <x:v>확인</x:v>
      </x:c>
      <x:c r="H9" s="11" t="str">
        <x:v>S01, S02, S03, S04, S06</x:v>
      </x:c>
      <x:c r="I9" s="11" t="str">
        <x:v>공장 역량 DB, AI 레시피/원가 산출, 스마트제조 매칭, 개인맞춤 식단 서비스</x:v>
      </x:c>
      <x:c r="J9" s="11" t="str">
        <x:v>AI 키워드는 기술 가능성 대비 실제 식품 구매 전환 검증이 필요</x:v>
      </x:c>
      <x:c r="K9" s="12" t="n">
        <x:v>3</x:v>
      </x:c>
      <x:c r="L9" s="12" t="n">
        <x:v>5</x:v>
      </x:c>
      <x:c r="M9" s="12" t="n">
        <x:v>5</x:v>
      </x:c>
      <x:c r="N9" s="12" t="n">
        <x:f>K9+L9+M9+O9+P9</x:f>
        <x:v>22</x:v>
      </x:c>
      <x:c r="O9" s="12" t="n">
        <x:v>5</x:v>
      </x:c>
      <x:c r="P9" s="12" t="n">
        <x:v>4</x:v>
      </x:c>
    </x:row>
    <x:row r="10" ht="52.79999923706055" hidden="0" customHeight="1">
      <x:c r="A10" s="11" t="n">
        <x:v>6</x:v>
      </x:c>
      <x:c r="B10" s="11" t="str">
        <x:v>K-푸드 수출·라면·쌀가공</x:v>
      </x:c>
      <x:c r="C10" s="11" t="str">
        <x:v>수출/글로벌</x:v>
      </x:c>
      <x:c r="D10" s="11" t="str">
        <x:v>K-푸드 수출이 기록 경신 국면에서 시장 다변화와 수출 구조 고도화 단계로 이동.</x:v>
      </x:c>
      <x:c r="E10" s="11" t="str">
        <x:v>검색 직접 순위 없음; K-푸드 검색/관광 수요와 별도 검증 필요</x:v>
      </x:c>
      <x:c r="F10" s="11" t="str">
        <x:v>2025년 K-푸드+ 수출 136.2억 달러, 농식품 104.1억 달러; 2026년 목표 160억 달러. RICE SHOW 2026은 글루텐프리·식물성·전통 가공 조명.</x:v>
      </x:c>
      <x:c r="G10" s="11" t="str">
        <x:v>확인</x:v>
      </x:c>
      <x:c r="H10" s="11" t="str">
        <x:v>S14, S05, S06, S01</x:v>
      </x:c>
      <x:c r="I10" s="11" t="str">
        <x:v>라면/소스/쌀가공 수출형 제품, 글루텐프리 떡·면, 할랄/현지 인증 대응</x:v>
      </x:c>
      <x:c r="J10" s="11" t="str">
        <x:v>수출 실적은 2025년 확정/잠정치, 2026년 수치는 목표 또는 1분기 일부 실적</x:v>
      </x:c>
      <x:c r="K10" s="12" t="n">
        <x:v>3</x:v>
      </x:c>
      <x:c r="L10" s="12" t="n">
        <x:v>5</x:v>
      </x:c>
      <x:c r="M10" s="12" t="n">
        <x:v>5</x:v>
      </x:c>
      <x:c r="N10" s="12" t="n">
        <x:f>K10+L10+M10+O10+P10</x:f>
        <x:v>23</x:v>
      </x:c>
      <x:c r="O10" s="12" t="n">
        <x:v>5</x:v>
      </x:c>
      <x:c r="P10" s="12" t="n">
        <x:v>5</x:v>
      </x:c>
    </x:row>
    <x:row r="11" ht="39.599998474121094" hidden="0" customHeight="1">
      <x:c r="A11" s="11" t="n">
        <x:v>7</x:v>
      </x:c>
      <x:c r="B11" s="11" t="str">
        <x:v>온라인 식품·D2C·퀵커머스</x:v>
      </x:c>
      <x:c r="C11" s="11" t="str">
        <x:v>유통</x:v>
      </x:c>
      <x:c r="D11" s="11" t="str">
        <x:v>온라인 식품시장은 코로나 이후 회귀하지 않고 신선식품·간편식까지 구조적으로 확대.</x:v>
      </x:c>
      <x:c r="E11" s="11" t="str">
        <x:v>검색 직접 순위 없음; 소비 접근성/구매채널 데이터로 보완</x:v>
      </x:c>
      <x:c r="F11" s="11" t="str">
        <x:v>식품 온라인 거래액 비중 2019년 12.6% -&gt; 2025년 19.1%; 2025년 온라인 전체 시장 275조 원</x:v>
      </x:c>
      <x:c r="G11" s="11" t="str">
        <x:v>확인</x:v>
      </x:c>
      <x:c r="H11" s="11" t="str">
        <x:v>S01, S02</x:v>
      </x:c>
      <x:c r="I11" s="11" t="str">
        <x:v>D2C몰, 구독형 식단, 신선/냉동 배송, 리뷰 기반 상품개선</x:v>
      </x:c>
      <x:c r="J11" s="11" t="str">
        <x:v>플랫폼 수수료, 정산, 품질/진위 확인 리스크 관리 필요</x:v>
      </x:c>
      <x:c r="K11" s="12" t="n">
        <x:v>2</x:v>
      </x:c>
      <x:c r="L11" s="12" t="n">
        <x:v>5</x:v>
      </x:c>
      <x:c r="M11" s="12" t="n">
        <x:v>4</x:v>
      </x:c>
      <x:c r="N11" s="12" t="n">
        <x:f>K11+L11+M11+O11+P11</x:f>
        <x:v>20</x:v>
      </x:c>
      <x:c r="O11" s="12" t="n">
        <x:v>5</x:v>
      </x:c>
      <x:c r="P11" s="12" t="n">
        <x:v>4</x:v>
      </x:c>
    </x:row>
    <x:row r="12" ht="39.599998474121094" hidden="0" customHeight="1">
      <x:c r="A12" s="11" t="n">
        <x:v>8</x:v>
      </x:c>
      <x:c r="B12" s="11" t="str">
        <x:v>고령친화식품·케어푸드</x:v>
      </x:c>
      <x:c r="C12" s="11" t="str">
        <x:v>시니어/헬스케어</x:v>
      </x:c>
      <x:c r="D12" s="11" t="str">
        <x:v>초고령사회 진입과 시설/B2B 수요 증가로 고령친화식품이 식품산업의 새 성장축으로 부상.</x:v>
      </x:c>
      <x:c r="E12" s="11" t="str">
        <x:v>검색 직접 순위 없음; FIS 2026년 4월 트렌드 Pick 주제</x:v>
      </x:c>
      <x:c r="F12" s="11" t="str">
        <x:v>늘편푸드 매출 2021년 2.3억 원 -&gt; 2025년 127.87억 원; 제품 수 27개 -&gt; 268개 누적</x:v>
      </x:c>
      <x:c r="G12" s="11" t="str">
        <x:v>확인</x:v>
      </x:c>
      <x:c r="H12" s="11" t="str">
        <x:v>S12, S15</x:v>
      </x:c>
      <x:c r="I12" s="11" t="str">
        <x:v>연화식, 단백질 강화 반찬, 구독형 케어푸드, 돌봄기관 B2B 납품</x:v>
      </x:c>
      <x:c r="J12" s="11" t="str">
        <x:v>전체 케어푸드 시장과 고령친화우수식품 지정 시장은 범위가 다름</x:v>
      </x:c>
      <x:c r="K12" s="12" t="n">
        <x:v>2</x:v>
      </x:c>
      <x:c r="L12" s="12" t="n">
        <x:v>4</x:v>
      </x:c>
      <x:c r="M12" s="12" t="n">
        <x:v>5</x:v>
      </x:c>
      <x:c r="N12" s="12" t="n">
        <x:f>K12+L12+M12+O12+P12</x:f>
        <x:v>20</x:v>
      </x:c>
      <x:c r="O12" s="12" t="n">
        <x:v>5</x:v>
      </x:c>
      <x:c r="P12" s="12" t="n">
        <x:v>4</x:v>
      </x:c>
    </x:row>
    <x:row r="13" ht="39.599998474121094" hidden="0" customHeight="1">
      <x:c r="A13" s="11" t="n">
        <x:v>9</x:v>
      </x:c>
      <x:c r="B13" s="11" t="str">
        <x:v>피스타치오·두바이쫀득쿠키·비주얼 디저트</x:v>
      </x:c>
      <x:c r="C13" s="11" t="str">
        <x:v>마이크로 트렌드</x:v>
      </x:c>
      <x:c r="D13" s="11" t="str">
        <x:v>SNS형 디저트와 재료 검색이 결합해 메뉴명, 재료, 만들기/레시피, 브랜드 검색으로 확산.</x:v>
      </x:c>
      <x:c r="E13" s="11" t="str">
        <x:v>ListeningMind 최근 6개월 급증 키워드 예시: 두바이쫀득쿠키, 피스타치오</x:v>
      </x:c>
      <x:c r="F13" s="11" t="str">
        <x:v>푸드 논브랜드 키워드 100개 기준 연간 약 19억 회, 월평균 약 1.5억 회 검색 규모 안에서 급증 키워드로 공개 언급</x:v>
      </x:c>
      <x:c r="G13" s="11" t="str">
        <x:v>확인</x:v>
      </x:c>
      <x:c r="H13" s="11" t="str">
        <x:v>S09</x:v>
      </x:c>
      <x:c r="I13" s="11" t="str">
        <x:v>피스타치오 디저트, 쿠키/베이커리 한정판, 편의점 협업 상품</x:v>
      </x:c>
      <x:c r="J13" s="11" t="str">
        <x:v>급상승 마이크로 트렌드는 수명 짧을 수 있어 재고/생산량 보수적 설계 필요</x:v>
      </x:c>
      <x:c r="K13" s="12" t="n">
        <x:v>5</x:v>
      </x:c>
      <x:c r="L13" s="12" t="n">
        <x:v>3</x:v>
      </x:c>
      <x:c r="M13" s="12" t="n">
        <x:v>4</x:v>
      </x:c>
      <x:c r="N13" s="12" t="n">
        <x:f>K13+L13+M13+O13+P13</x:f>
        <x:v>20</x:v>
      </x:c>
      <x:c r="O13" s="12" t="n">
        <x:v>4</x:v>
      </x:c>
      <x:c r="P13" s="12" t="n">
        <x:v>4</x:v>
      </x:c>
    </x:row>
    <x:row r="14" ht="26.399999618530273" hidden="0" customHeight="1">
      <x:c r="A14" s="11" t="n">
        <x:v>10</x:v>
      </x:c>
      <x:c r="B14" s="11" t="str">
        <x:v>봄동비빔밥·굴무침·제철 한식</x:v>
      </x:c>
      <x:c r="C14" s="11" t="str">
        <x:v>로컬/제철</x:v>
      </x:c>
      <x:c r="D14" s="11" t="str">
        <x:v>한식 및 제철 식재료 검색이 건강식·집밥·레시피 수요와 함께 상승.</x:v>
      </x:c>
      <x:c r="E14" s="11" t="str">
        <x:v>ListeningMind 최근 6개월 급증 키워드 예시: 봄동비빔밥, 굴무침</x:v>
      </x:c>
      <x:c r="F14" s="11" t="str">
        <x:v>30대는 레시피/반찬/가정식, 50대 이상은 전통식/건강식 중심 검색 패턴</x:v>
      </x:c>
      <x:c r="G14" s="11" t="str">
        <x:v>확인</x:v>
      </x:c>
      <x:c r="H14" s="11" t="str">
        <x:v>S09, S11</x:v>
      </x:c>
      <x:c r="I14" s="11" t="str">
        <x:v>제철 반찬 HMR, 지역 식재료 비빔밥, 로컬 소스/양념 키트</x:v>
      </x:c>
      <x:c r="J14" s="11" t="str">
        <x:v>제철성 강해 시즌 캘린더와 원물 수급 리스크 반영 필요</x:v>
      </x:c>
      <x:c r="K14" s="12" t="n">
        <x:v>5</x:v>
      </x:c>
      <x:c r="L14" s="12" t="n">
        <x:v>3</x:v>
      </x:c>
      <x:c r="M14" s="12" t="n">
        <x:v>4</x:v>
      </x:c>
      <x:c r="N14" s="12" t="n">
        <x:f>K14+L14+M14+O14+P14</x:f>
        <x:v>19</x:v>
      </x:c>
      <x:c r="O14" s="12" t="n">
        <x:v>4</x:v>
      </x:c>
      <x:c r="P14" s="12" t="n">
        <x:v>3</x:v>
      </x:c>
    </x:row>
    <x:row r="15" ht="39.599998474121094" hidden="0" customHeight="1">
      <x:c r="A15" s="11" t="n">
        <x:v>11</x:v>
      </x:c>
      <x:c r="B15" s="11" t="str">
        <x:v>클린라벨·영양표시·GMO/카페인 표시</x:v>
      </x:c>
      <x:c r="C15" s="11" t="str">
        <x:v>규제/투명성</x:v>
      </x:c>
      <x:c r="D15" s="11" t="str">
        <x:v>소비자 알권리 강화와 건강/안전 중심 정책 전환으로 라벨링, 원료 이력, 표시 대응이 상품 경쟁력에 포함.</x:v>
      </x:c>
      <x:c r="E15" s="11" t="str">
        <x:v>검색 직접 순위 없음; 정책 리스크 기반 트렌드</x:v>
      </x:c>
      <x:c r="F15" s="11" t="str">
        <x:v>영양표시 259개 품목 확대, 과라나 함유 고체식품 고카페인 주의문구 확대, 당알코올 표시 강화</x:v>
      </x:c>
      <x:c r="G15" s="11" t="str">
        <x:v>확인</x:v>
      </x:c>
      <x:c r="H15" s="11" t="str">
        <x:v>S07, S08, S01</x:v>
      </x:c>
      <x:c r="I15" s="11" t="str">
        <x:v>영양성분 자동 산출, 클린라벨 원료, 표시 검수 서비스, 제조 이력 관리</x:v>
      </x:c>
      <x:c r="J15" s="11" t="str">
        <x:v>GMO 완전표시제 등 일부 세부 시행은 하위 규정 확인 필요</x:v>
      </x:c>
      <x:c r="K15" s="12" t="n">
        <x:v>2</x:v>
      </x:c>
      <x:c r="L15" s="12" t="n">
        <x:v>4</x:v>
      </x:c>
      <x:c r="M15" s="12" t="n">
        <x:v>5</x:v>
      </x:c>
      <x:c r="N15" s="12" t="n">
        <x:f>K15+L15+M15+O15+P15</x:f>
        <x:v>20</x:v>
      </x:c>
      <x:c r="O15" s="12" t="n">
        <x:v>5</x:v>
      </x:c>
      <x:c r="P15" s="12" t="n">
        <x:v>4</x:v>
      </x:c>
    </x:row>
    <x:row r="16" ht="39.599998474121094" hidden="0" customHeight="1">
      <x:c r="A16" s="11" t="n">
        <x:v>12</x:v>
      </x:c>
      <x:c r="B16" s="11" t="str">
        <x:v>소용량·가성비·PB 프리미엄</x:v>
      </x:c>
      <x:c r="C16" s="11" t="str">
        <x:v>가격/패키징</x:v>
      </x:c>
      <x:c r="D16" s="11" t="str">
        <x:v>고물가 대응 소비와 1인/소가구 증가가 소용량 포장, 가성비 즉석식, PB 프리미엄화를 밀어올림.</x:v>
      </x:c>
      <x:c r="E16" s="11" t="str">
        <x:v>검색 직접 순위 없음; KATI/KREI 이슈로 보완</x:v>
      </x:c>
      <x:c r="F16" s="11" t="str">
        <x:v>KATI 2026 전망에 소용량 포장 및 친환경 혁신 포함; KREI는 고물가와 간편식 양극화 지적</x:v>
      </x:c>
      <x:c r="G16" s="11" t="str">
        <x:v>확인</x:v>
      </x:c>
      <x:c r="H16" s="11" t="str">
        <x:v>S03, S01, S02</x:v>
      </x:c>
      <x:c r="I16" s="11" t="str">
        <x:v>소용량 냉동식, 1인용 소스/조미료, PB 건강 간편식, 친환경 패키징</x:v>
      </x:c>
      <x:c r="J16" s="11" t="str">
        <x:v>가성비와 친환경 포장은 원가 상승과 충돌할 수 있어 가격 민감도 테스트 필요</x:v>
      </x:c>
      <x:c r="K16" s="12" t="n">
        <x:v>2</x:v>
      </x:c>
      <x:c r="L16" s="12" t="n">
        <x:v>4</x:v>
      </x:c>
      <x:c r="M16" s="12" t="n">
        <x:v>4</x:v>
      </x:c>
      <x:c r="N16" s="12" t="n">
        <x:f>K16+L16+M16+O16+P16</x:f>
        <x:v>18</x:v>
      </x:c>
      <x:c r="O16" s="12" t="n">
        <x:v>4</x:v>
      </x:c>
      <x:c r="P16" s="12" t="n">
        <x:v>4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1838193fb4c640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42" hidden="0" customWidth="1"/>
  </x:cols>
  <x:sheetData>
    <x:row r="1" ht="16.799999237060547" hidden="0" customHeight="1">
      <x:c r="A1" s="10" t="str">
        <x:v>검색량/검색 관심도 근거 및 한계</x:v>
      </x:c>
      <x:c r="B1" s="10"/>
      <x:c r="C1" s="10"/>
      <x:c r="D1" s="10"/>
      <x:c r="E1" s="10"/>
      <x:c r="F1" s="10"/>
    </x:row>
    <x:row r="2" ht="15" hidden="0" customHeight="1">
      <x:c r="A2" s="11"/>
      <x:c r="B2" s="11"/>
      <x:c r="C2" s="11"/>
      <x:c r="D2" s="11"/>
      <x:c r="E2" s="11"/>
      <x:c r="F2" s="11"/>
    </x:row>
    <x:row r="3" ht="15" hidden="0" customHeight="1">
      <x:c r="A3" s="8" t="str">
        <x:v>지표</x:v>
      </x:c>
      <x:c r="B3" s="8" t="str">
        <x:v>값</x:v>
      </x:c>
      <x:c r="C3" s="8" t="str">
        <x:v>범위/기간</x:v>
      </x:c>
      <x:c r="D3" s="8" t="str">
        <x:v>출처</x:v>
      </x:c>
      <x:c r="E3" s="8" t="str">
        <x:v>해석</x:v>
      </x:c>
      <x:c r="F3" s="8" t="str">
        <x:v>한계</x:v>
      </x:c>
    </x:row>
    <x:row r="4" ht="26.399999618530273" hidden="0" customHeight="1">
      <x:c r="A4" s="11" t="str">
        <x:v>푸드(식음료) 논브랜드 키워드 검색량</x:v>
      </x:c>
      <x:c r="B4" s="11" t="str">
        <x:v>연간 약 19억 회 이상</x:v>
      </x:c>
      <x:c r="C4" s="11" t="str">
        <x:v>2026 리포트 공개 기준</x:v>
      </x:c>
      <x:c r="D4" s="11" t="str">
        <x:v>S09</x:v>
      </x:c>
      <x:c r="E4" s="11" t="str">
        <x:v>푸드 카테고리가 일상 탐색의 큰 축으로 자리 잡음</x:v>
      </x:c>
      <x:c r="F4" s="11" t="str">
        <x:v>키워드 100개 묶음 기준으로 개별 키워드 절대 검색량은 비공개</x:v>
      </x:c>
    </x:row>
    <x:row r="5" ht="26.399999618530273" hidden="0" customHeight="1">
      <x:c r="A5" s="11" t="str">
        <x:v>월평균 검색량</x:v>
      </x:c>
      <x:c r="B5" s="11" t="str">
        <x:v>약 1억 5천만 회 이상</x:v>
      </x:c>
      <x:c r="C5" s="11" t="str">
        <x:v>2026 리포트 공개 기준</x:v>
      </x:c>
      <x:c r="D5" s="11" t="str">
        <x:v>S09</x:v>
      </x:c>
      <x:c r="E5" s="11" t="str">
        <x:v>식품 소비 관심이 상시적으로 발생</x:v>
      </x:c>
      <x:c r="F5" s="11" t="str">
        <x:v>개별 검색엔진/플랫폼 구성은 공개 텍스트만으로 확인 제한</x:v>
      </x:c>
    </x:row>
    <x:row r="6" ht="15" hidden="0" customHeight="1">
      <x:c r="A6" s="11" t="str">
        <x:v>연관 키워드</x:v>
      </x:c>
      <x:c r="B6" s="11" t="str">
        <x:v>약 166만 개 이상</x:v>
      </x:c>
      <x:c r="C6" s="11" t="str">
        <x:v>2026 리포트 공개 기준</x:v>
      </x:c>
      <x:c r="D6" s="11" t="str">
        <x:v>S09</x:v>
      </x:c>
      <x:c r="E6" s="11" t="str">
        <x:v>디저트, 식사, 건강식 등 다층적 관심 구조</x:v>
      </x:c>
      <x:c r="F6" s="11" t="str">
        <x:v>중복/유사어 정제 기준은 출처 리포트 기준</x:v>
      </x:c>
    </x:row>
    <x:row r="7" ht="15" hidden="0" customHeight="1">
      <x:c r="A7" s="11" t="str">
        <x:v>최근 6개월 급증 키워드</x:v>
      </x:c>
      <x:c r="B7" s="11" t="str">
        <x:v>두바이쫀득쿠키, 피스타치오</x:v>
      </x:c>
      <x:c r="C7" s="11" t="str">
        <x:v>디저트</x:v>
      </x:c>
      <x:c r="D7" s="11" t="str">
        <x:v>S09</x:v>
      </x:c>
      <x:c r="E7" s="11" t="str">
        <x:v>비주얼 디저트와 재료 검색 확산</x:v>
      </x:c>
      <x:c r="F7" s="11" t="str">
        <x:v>공개 본문은 순위표 전체가 아닌 예시 키워드 중심</x:v>
      </x:c>
    </x:row>
    <x:row r="8" ht="15" hidden="0" customHeight="1">
      <x:c r="A8" s="11" t="str">
        <x:v>최근 6개월 급증 키워드</x:v>
      </x:c>
      <x:c r="B8" s="11" t="str">
        <x:v>봄동비빔밥, 굴무침</x:v>
      </x:c>
      <x:c r="C8" s="11" t="str">
        <x:v>한식/제철</x:v>
      </x:c>
      <x:c r="D8" s="11" t="str">
        <x:v>S09</x:v>
      </x:c>
      <x:c r="E8" s="11" t="str">
        <x:v>제철 한식과 집밥/레시피 니즈 부상</x:v>
      </x:c>
      <x:c r="F8" s="11" t="str">
        <x:v>계절성 영향 큼</x:v>
      </x:c>
    </x:row>
    <x:row r="9" ht="15" hidden="0" customHeight="1">
      <x:c r="A9" s="11" t="str">
        <x:v>최근 6개월 급증 키워드</x:v>
      </x:c>
      <x:c r="B9" s="11" t="str">
        <x:v>저당 팝콘</x:v>
      </x:c>
      <x:c r="C9" s="11" t="str">
        <x:v>건강</x:v>
      </x:c>
      <x:c r="D9" s="11" t="str">
        <x:v>S09</x:v>
      </x:c>
      <x:c r="E9" s="11" t="str">
        <x:v>저당/건강 간식 수요 확인</x:v>
      </x:c>
      <x:c r="F9" s="11" t="str">
        <x:v>절대 검색량 미공개</x:v>
      </x:c>
    </x:row>
    <x:row r="10" ht="26.399999618530273" hidden="0" customHeight="1">
      <x:c r="A10" s="11" t="str">
        <x:v>검색량 직접 수집 시도</x:v>
      </x:c>
      <x:c r="B10" s="11" t="str">
        <x:v>Google Trends 공개 API 접근 제한(HTTP 429)</x:v>
      </x:c>
      <x:c r="C10" s="11" t="str">
        <x:v>2026-07-07 확인</x:v>
      </x:c>
      <x:c r="D10" s="11" t="str">
        <x:v>직접 검증</x:v>
      </x:c>
      <x:c r="E10" s="11" t="str">
        <x:v>절대 검색량 재현 불가로 공개 리포트 기반 대체</x:v>
      </x:c>
      <x:c r="F10" s="11" t="str">
        <x:v>워크북의 키워드 순위는 검색량 단독 순위가 아니라 검색+뉴스+시장 데이터 종합순위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dca3182f7af45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6.799999237060547" hidden="0" customHeight="1">
      <x:c r="A1" s="10" t="str">
        <x:v>시장·정책·인구 데이터</x:v>
      </x:c>
      <x:c r="B1" s="10"/>
      <x:c r="C1" s="10"/>
      <x:c r="D1" s="10"/>
      <x:c r="E1" s="10"/>
      <x:c r="F1" s="10"/>
    </x:row>
    <x:row r="2" ht="15" hidden="0" customHeight="1">
      <x:c r="A2" s="11"/>
      <x:c r="B2" s="11"/>
      <x:c r="C2" s="11"/>
      <x:c r="D2" s="11"/>
      <x:c r="E2" s="11"/>
      <x:c r="F2" s="11"/>
    </x:row>
    <x:row r="3" ht="15" hidden="0" customHeight="1">
      <x:c r="A3" s="8" t="str">
        <x:v>항목</x:v>
      </x:c>
      <x:c r="B3" s="8" t="str">
        <x:v>값</x:v>
      </x:c>
      <x:c r="C3" s="8" t="str">
        <x:v>연도/기간</x:v>
      </x:c>
      <x:c r="D3" s="8" t="str">
        <x:v>출처</x:v>
      </x:c>
      <x:c r="E3" s="8" t="str">
        <x:v>관련 키워드</x:v>
      </x:c>
      <x:c r="F3" s="8" t="str">
        <x:v>팩트체크 메모</x:v>
      </x:c>
    </x:row>
    <x:row r="4" ht="15" hidden="0" customHeight="1">
      <x:c r="A4" s="11" t="str">
        <x:v>국내 식품제조업 시장 전망</x:v>
      </x:c>
      <x:c r="B4" s="14" t="n">
        <x:v>202.9</x:v>
      </x:c>
      <x:c r="C4" s="11" t="str">
        <x:v>2026 전망, 조 원</x:v>
      </x:c>
      <x:c r="D4" s="11" t="str">
        <x:v>S01/S02</x:v>
      </x:c>
      <x:c r="E4" s="11" t="str">
        <x:v>산업 전체</x:v>
      </x:c>
      <x:c r="F4" s="11" t="str">
        <x:v>KREI 전망치</x:v>
      </x:c>
    </x:row>
    <x:row r="5" ht="15" hidden="0" customHeight="1">
      <x:c r="A5" s="11" t="str">
        <x:v>외식산업 시장 전망</x:v>
      </x:c>
      <x:c r="B5" s="14" t="n">
        <x:v>221.5</x:v>
      </x:c>
      <x:c r="C5" s="11" t="str">
        <x:v>2026 전망, 조 원</x:v>
      </x:c>
      <x:c r="D5" s="11" t="str">
        <x:v>S01/S02</x:v>
      </x:c>
      <x:c r="E5" s="11" t="str">
        <x:v>외식/간편식</x:v>
      </x:c>
      <x:c r="F5" s="11" t="str">
        <x:v>KREI 전망치</x:v>
      </x:c>
    </x:row>
    <x:row r="6" ht="15" hidden="0" customHeight="1">
      <x:c r="A6" s="11" t="str">
        <x:v>간편식 국내 판매액</x:v>
      </x:c>
      <x:c r="B6" s="14" t="n">
        <x:v>7.2606</x:v>
      </x:c>
      <x:c r="C6" s="11" t="str">
        <x:v>2024, 조 원</x:v>
      </x:c>
      <x:c r="D6" s="11" t="str">
        <x:v>S02</x:v>
      </x:c>
      <x:c r="E6" s="11" t="str">
        <x:v>간편식 HMR</x:v>
      </x:c>
      <x:c r="F6" s="11" t="str">
        <x:v>KREI: 7조 2,606억 원</x:v>
      </x:c>
    </x:row>
    <x:row r="7" ht="15" hidden="0" customHeight="1">
      <x:c r="A7" s="11" t="str">
        <x:v>간편식 시장 전망</x:v>
      </x:c>
      <x:c r="B7" s="14" t="n">
        <x:v>7.5</x:v>
      </x:c>
      <x:c r="C7" s="11" t="str">
        <x:v>2026 전망, 조 원</x:v>
      </x:c>
      <x:c r="D7" s="11" t="str">
        <x:v>S02</x:v>
      </x:c>
      <x:c r="E7" s="11" t="str">
        <x:v>간편식 HMR</x:v>
      </x:c>
      <x:c r="F7" s="11" t="str">
        <x:v>KREI 전망치</x:v>
      </x:c>
    </x:row>
    <x:row r="8" ht="15" hidden="0" customHeight="1">
      <x:c r="A8" s="11" t="str">
        <x:v>즉석조리식품 비중</x:v>
      </x:c>
      <x:c r="B8" s="14" t="n">
        <x:v>40.7</x:v>
      </x:c>
      <x:c r="C8" s="11" t="str">
        <x:v>2024, %</x:v>
      </x:c>
      <x:c r="D8" s="11" t="str">
        <x:v>S02</x:v>
      </x:c>
      <x:c r="E8" s="11" t="str">
        <x:v>간편식 HMR</x:v>
      </x:c>
      <x:c r="F8" s="11" t="str">
        <x:v>KREI 유형별 비중</x:v>
      </x:c>
    </x:row>
    <x:row r="9" ht="15" hidden="0" customHeight="1">
      <x:c r="A9" s="11" t="str">
        <x:v>즉석섭취식품 비중</x:v>
      </x:c>
      <x:c r="B9" s="14" t="n">
        <x:v>38.3</x:v>
      </x:c>
      <x:c r="C9" s="11" t="str">
        <x:v>2024, %</x:v>
      </x:c>
      <x:c r="D9" s="11" t="str">
        <x:v>S02</x:v>
      </x:c>
      <x:c r="E9" s="11" t="str">
        <x:v>간편식 HMR</x:v>
      </x:c>
      <x:c r="F9" s="11" t="str">
        <x:v>KREI 유형별 비중</x:v>
      </x:c>
    </x:row>
    <x:row r="10" ht="15" hidden="0" customHeight="1">
      <x:c r="A10" s="11" t="str">
        <x:v>온라인 전체 시장규모</x:v>
      </x:c>
      <x:c r="B10" s="14" t="n">
        <x:v>275</x:v>
      </x:c>
      <x:c r="C10" s="11" t="str">
        <x:v>2025, 조 원</x:v>
      </x:c>
      <x:c r="D10" s="11" t="str">
        <x:v>S02</x:v>
      </x:c>
      <x:c r="E10" s="11" t="str">
        <x:v>온라인 식품</x:v>
      </x:c>
      <x:c r="F10" s="11" t="str">
        <x:v>KREI 인용 온라인 시장규모</x:v>
      </x:c>
    </x:row>
    <x:row r="11" ht="15" hidden="0" customHeight="1">
      <x:c r="A11" s="11" t="str">
        <x:v>식품 온라인 거래액 비중</x:v>
      </x:c>
      <x:c r="B11" s="14" t="n">
        <x:v>19.1</x:v>
      </x:c>
      <x:c r="C11" s="11" t="str">
        <x:v>2025, %</x:v>
      </x:c>
      <x:c r="D11" s="11" t="str">
        <x:v>S02</x:v>
      </x:c>
      <x:c r="E11" s="11" t="str">
        <x:v>온라인 식품</x:v>
      </x:c>
      <x:c r="F11" s="11" t="str">
        <x:v>2019년 12.6%에서 상승</x:v>
      </x:c>
    </x:row>
    <x:row r="12" ht="15" hidden="0" customHeight="1">
      <x:c r="A12" s="11" t="str">
        <x:v>푸드테크 시장규모</x:v>
      </x:c>
      <x:c r="B12" s="14" t="n">
        <x:v>50.1553</x:v>
      </x:c>
      <x:c r="C12" s="11" t="str">
        <x:v>2020, 조 원</x:v>
      </x:c>
      <x:c r="D12" s="11" t="str">
        <x:v>S02</x:v>
      </x:c>
      <x:c r="E12" s="11" t="str">
        <x:v>푸드테크</x:v>
      </x:c>
      <x:c r="F12" s="11" t="str">
        <x:v>KREI 추정</x:v>
      </x:c>
    </x:row>
    <x:row r="13" ht="15" hidden="0" customHeight="1">
      <x:c r="A13" s="11" t="str">
        <x:v>푸드테크 시장규모</x:v>
      </x:c>
      <x:c r="B13" s="14" t="n">
        <x:v>96.2332</x:v>
      </x:c>
      <x:c r="C13" s="11" t="str">
        <x:v>2024, 조 원</x:v>
      </x:c>
      <x:c r="D13" s="11" t="str">
        <x:v>S02</x:v>
      </x:c>
      <x:c r="E13" s="11" t="str">
        <x:v>푸드테크</x:v>
      </x:c>
      <x:c r="F13" s="11" t="str">
        <x:v>KREI 추정</x:v>
      </x:c>
    </x:row>
    <x:row r="14" ht="15" hidden="0" customHeight="1">
      <x:c r="A14" s="11" t="str">
        <x:v>푸드테크 연평균 성장률</x:v>
      </x:c>
      <x:c r="B14" s="14" t="n">
        <x:v>17.7</x:v>
      </x:c>
      <x:c r="C14" s="11" t="str">
        <x:v>2020~2024, %</x:v>
      </x:c>
      <x:c r="D14" s="11" t="str">
        <x:v>S02</x:v>
      </x:c>
      <x:c r="E14" s="11" t="str">
        <x:v>푸드테크</x:v>
      </x:c>
      <x:c r="F14" s="11" t="str">
        <x:v>KREI 제시</x:v>
      </x:c>
    </x:row>
    <x:row r="15" ht="26.399999618530273" hidden="0" customHeight="1">
      <x:c r="A15" s="11" t="str">
        <x:v>K-푸드+ 수출액</x:v>
      </x:c>
      <x:c r="B15" s="14" t="n">
        <x:v>136.2</x:v>
      </x:c>
      <x:c r="C15" s="11" t="str">
        <x:v>2025, 억 달러</x:v>
      </x:c>
      <x:c r="D15" s="11" t="str">
        <x:v>S14</x:v>
      </x:c>
      <x:c r="E15" s="11" t="str">
        <x:v>K-푸드 수출</x:v>
      </x:c>
      <x:c r="F15" s="11" t="str">
        <x:v>농식품 104.1억, 농산업 32.2억 달러</x:v>
      </x:c>
    </x:row>
    <x:row r="16" ht="15" hidden="0" customHeight="1">
      <x:c r="A16" s="11" t="str">
        <x:v>K-푸드+ 수출 목표</x:v>
      </x:c>
      <x:c r="B16" s="14" t="n">
        <x:v>160</x:v>
      </x:c>
      <x:c r="C16" s="11" t="str">
        <x:v>2026 목표, 억 달러</x:v>
      </x:c>
      <x:c r="D16" s="11" t="str">
        <x:v>S14</x:v>
      </x:c>
      <x:c r="E16" s="11" t="str">
        <x:v>K-푸드 수출</x:v>
      </x:c>
      <x:c r="F16" s="11" t="str">
        <x:v>목표치이지 실적 아님</x:v>
      </x:c>
    </x:row>
    <x:row r="17" ht="15" hidden="0" customHeight="1">
      <x:c r="A17" s="11" t="str">
        <x:v>RICE SHOW 쌀가공식품 1분기 수출</x:v>
      </x:c>
      <x:c r="B17" s="14" t="n">
        <x:v>7089</x:v>
      </x:c>
      <x:c r="C17" s="11" t="str">
        <x:v>2026 1분기, 만 달러</x:v>
      </x:c>
      <x:c r="D17" s="11" t="str">
        <x:v>S05</x:v>
      </x:c>
      <x:c r="E17" s="11" t="str">
        <x:v>쌀가공/K-푸드</x:v>
      </x:c>
      <x:c r="F17" s="11" t="str">
        <x:v>전년동기 대비 9.6% 증가</x:v>
      </x:c>
    </x:row>
    <x:row r="18" ht="15" hidden="0" customHeight="1">
      <x:c r="A18" s="11" t="str">
        <x:v>서울푸드 참가국/기업</x:v>
      </x:c>
      <x:c r="B18" s="14" t="n">
        <x:v>1800</x:v>
      </x:c>
      <x:c r="C18" s="11" t="str">
        <x:v>2026, 개 기업</x:v>
      </x:c>
      <x:c r="D18" s="11" t="str">
        <x:v>S06</x:v>
      </x:c>
      <x:c r="E18" s="11" t="str">
        <x:v>K-푸드/푸드테크</x:v>
      </x:c>
      <x:c r="F18" s="11" t="str">
        <x:v>49개국, 1,800개 기업</x:v>
      </x:c>
    </x:row>
    <x:row r="19" ht="15" hidden="0" customHeight="1">
      <x:c r="A19" s="11" t="str">
        <x:v>1인 가구 수</x:v>
      </x:c>
      <x:c r="B19" s="14" t="n">
        <x:v>804.5</x:v>
      </x:c>
      <x:c r="C19" s="11" t="str">
        <x:v>2024, 만 가구</x:v>
      </x:c>
      <x:c r="D19" s="11" t="str">
        <x:v>S10</x:v>
      </x:c>
      <x:c r="E19" s="11" t="str">
        <x:v>혼웰식</x:v>
      </x:c>
      <x:c r="F19" s="11" t="str">
        <x:v>전체 가구의 36.1%</x:v>
      </x:c>
    </x:row>
    <x:row r="20" ht="15" hidden="0" customHeight="1">
      <x:c r="A20" s="11" t="str">
        <x:v>고령친화우수식품 매출</x:v>
      </x:c>
      <x:c r="B20" s="14" t="n">
        <x:v>127.87</x:v>
      </x:c>
      <x:c r="C20" s="11" t="str">
        <x:v>2025, 억 원</x:v>
      </x:c>
      <x:c r="D20" s="11" t="str">
        <x:v>S12</x:v>
      </x:c>
      <x:c r="E20" s="11" t="str">
        <x:v>케어푸드</x:v>
      </x:c>
      <x:c r="F20" s="11" t="str">
        <x:v>전년 대비 약 34% 증가</x:v>
      </x:c>
    </x:row>
    <x:row r="21" ht="15" hidden="0" customHeight="1">
      <x:c r="A21" s="11" t="str">
        <x:v>고령친화우수식품 제품 수</x:v>
      </x:c>
      <x:c r="B21" s="14" t="n">
        <x:v>268</x:v>
      </x:c>
      <x:c r="C21" s="11" t="str">
        <x:v>2025, 누적 개</x:v>
      </x:c>
      <x:c r="D21" s="11" t="str">
        <x:v>S12</x:v>
      </x:c>
      <x:c r="E21" s="11" t="str">
        <x:v>케어푸드</x:v>
      </x:c>
      <x:c r="F21" s="11" t="str">
        <x:v>2021년 27개에서 확대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c9e0c75857649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6" hidden="0" customWidth="1"/>
    <x:col min="4" max="4" width="48" hidden="0" customWidth="1"/>
    <x:col min="5" max="5" width="48" hidden="0" customWidth="1"/>
  </x:cols>
  <x:sheetData>
    <x:row r="1" ht="16.799999237060547" hidden="0" customHeight="1">
      <x:c r="A1" s="10" t="str">
        <x:v>팩트체크 기록</x:v>
      </x:c>
      <x:c r="B1" s="10"/>
      <x:c r="C1" s="10"/>
      <x:c r="D1" s="10"/>
      <x:c r="E1" s="10"/>
    </x:row>
    <x:row r="2" ht="15" hidden="0" customHeight="1">
      <x:c r="A2" s="11"/>
      <x:c r="B2" s="11"/>
      <x:c r="C2" s="11"/>
      <x:c r="D2" s="11"/>
      <x:c r="E2" s="11"/>
    </x:row>
    <x:row r="3" ht="15" hidden="0" customHeight="1">
      <x:c r="A3" s="8" t="str">
        <x:v>검증 항목</x:v>
      </x:c>
      <x:c r="B3" s="8" t="str">
        <x:v>판정</x:v>
      </x:c>
      <x:c r="C3" s="8" t="str">
        <x:v>근거 출처</x:v>
      </x:c>
      <x:c r="D3" s="8" t="str">
        <x:v>검증 내용</x:v>
      </x:c>
      <x:c r="E3" s="8" t="str">
        <x:v>주의/한계</x:v>
      </x:c>
    </x:row>
    <x:row r="4" ht="26.399999618530273" hidden="0" customHeight="1">
      <x:c r="A4" s="11" t="str">
        <x:v>2026년 식품외식산업 7대 이슈 존재</x:v>
      </x:c>
      <x:c r="B4" s="11" t="str">
        <x:v>확인</x:v>
      </x:c>
      <x:c r="C4" s="11" t="str">
        <x:v>S01/S02</x:v>
      </x:c>
      <x:c r="D4" s="11" t="str">
        <x:v>기후·물가, 푸드테크, 규제, 간편식, 온라인 플랫폼, 외식 비용, K-푸드 세계화가 제시됨</x:v>
      </x:c>
      <x:c r="E4" s="11" t="str">
        <x:v>PDF 공공누리 4유형: 변경금지 조건</x:v>
      </x:c>
    </x:row>
    <x:row r="5" ht="26.399999618530273" hidden="0" customHeight="1">
      <x:c r="A5" s="11" t="str">
        <x:v>간편식 2026년 7.5조 원 전망</x:v>
      </x:c>
      <x:c r="B5" s="11" t="str">
        <x:v>확인</x:v>
      </x:c>
      <x:c r="C5" s="11" t="str">
        <x:v>S02</x:v>
      </x:c>
      <x:c r="D5" s="11" t="str">
        <x:v>KREI PDF에서 간편식 시장이 2026년 7조 5천억 원 규모에 달할 것으로 전망</x:v>
      </x:c>
      <x:c r="E5" s="11" t="str">
        <x:v>전망치이며 실제 연간 실적 아님</x:v>
      </x:c>
    </x:row>
    <x:row r="6" ht="26.399999618530273" hidden="0" customHeight="1">
      <x:c r="A6" s="11" t="str">
        <x:v>온라인 식품 거래 확대</x:v>
      </x:c>
      <x:c r="B6" s="11" t="str">
        <x:v>확인</x:v>
      </x:c>
      <x:c r="C6" s="11" t="str">
        <x:v>S02</x:v>
      </x:c>
      <x:c r="D6" s="11" t="str">
        <x:v>식품 온라인 거래액 비중이 2019년 12.6%에서 2025년 19.1%까지 증가</x:v>
      </x:c>
      <x:c r="E6" s="11" t="str">
        <x:v>자료 기준과 상품군 정의 확인 필요</x:v>
      </x:c>
    </x:row>
    <x:row r="7" ht="26.399999618530273" hidden="0" customHeight="1">
      <x:c r="A7" s="11" t="str">
        <x:v>영양표시 2026~2028 확대</x:v>
      </x:c>
      <x:c r="B7" s="11" t="str">
        <x:v>확인</x:v>
      </x:c>
      <x:c r="C7" s="11" t="str">
        <x:v>S07/S08</x:v>
      </x:c>
      <x:c r="D7" s="11" t="str">
        <x:v>182개 품목에서 77개 추가, 총 259개 품목 적용. 매출 규모별 단계 시행</x:v>
      </x:c>
      <x:c r="E7" s="11" t="str">
        <x:v>세부 적용 품목은 최신 고시 확인 필요</x:v>
      </x:c>
    </x:row>
    <x:row r="8" ht="26.399999618530273" hidden="0" customHeight="1">
      <x:c r="A8" s="11" t="str">
        <x:v>검색량 절대 순위 산출</x:v>
      </x:c>
      <x:c r="B8" s="11" t="str">
        <x:v>부분 확인</x:v>
      </x:c>
      <x:c r="C8" s="11" t="str">
        <x:v>S09/직접 검증</x:v>
      </x:c>
      <x:c r="D8" s="11" t="str">
        <x:v>ListeningMind는 검색 규모와 급증 키워드를 공개했으나 개별 키워드 절대 검색량은 공개 본문에 없음</x:v>
      </x:c>
      <x:c r="E8" s="11" t="str">
        <x:v>종합순위는 검색량 단독 순위가 아님</x:v>
      </x:c>
    </x:row>
    <x:row r="9" ht="26.399999618530273" hidden="0" customHeight="1">
      <x:c r="A9" s="11" t="str">
        <x:v>두바이쫀득쿠키·피스타치오·저당 팝콘 급증</x:v>
      </x:c>
      <x:c r="B9" s="11" t="str">
        <x:v>확인</x:v>
      </x:c>
      <x:c r="C9" s="11" t="str">
        <x:v>S09</x:v>
      </x:c>
      <x:c r="D9" s="11" t="str">
        <x:v>최근 6개월 검색량 급증 키워드 예시로 공개</x:v>
      </x:c>
      <x:c r="E9" s="11" t="str">
        <x:v>순위표 전체와 수치 원본은 비공개/다운로드 필요</x:v>
      </x:c>
    </x:row>
    <x:row r="10" ht="15" hidden="0" customHeight="1">
      <x:c r="A10" s="11" t="str">
        <x:v>K-푸드+ 2025년 수출 136.2억 달러</x:v>
      </x:c>
      <x:c r="B10" s="11" t="str">
        <x:v>확인</x:v>
      </x:c>
      <x:c r="C10" s="11" t="str">
        <x:v>S14</x:v>
      </x:c>
      <x:c r="D10" s="11" t="str">
        <x:v>농식품부 보도자료 기준 잠정치</x:v>
      </x:c>
      <x:c r="E10" s="11" t="str">
        <x:v>2026년 목표 160억 달러는 목표치</x:v>
      </x:c>
    </x:row>
    <x:row r="11" ht="26.399999618530273" hidden="0" customHeight="1">
      <x:c r="A11" s="11" t="str">
        <x:v>쌀가공식품 글루텐프리·식물성·전통 가공 트렌드</x:v>
      </x:c>
      <x:c r="B11" s="11" t="str">
        <x:v>확인</x:v>
      </x:c>
      <x:c r="C11" s="11" t="str">
        <x:v>S05</x:v>
      </x:c>
      <x:c r="D11" s="11" t="str">
        <x:v>RICE SHOW 2026 주제관이 해당 트렌드를 집중 조명</x:v>
      </x:c>
      <x:c r="E11" s="11" t="str">
        <x:v>전시회 큐레이션이므로 시장 전체 점유율과는 다름</x:v>
      </x:c>
    </x:row>
    <x:row r="12" ht="26.399999618530273" hidden="0" customHeight="1">
      <x:c r="A12" s="11" t="str">
        <x:v>고령친화우수식품 성장</x:v>
      </x:c>
      <x:c r="B12" s="11" t="str">
        <x:v>확인</x:v>
      </x:c>
      <x:c r="C12" s="11" t="str">
        <x:v>S12</x:v>
      </x:c>
      <x:c r="D12" s="11" t="str">
        <x:v>2025년 늘편푸드 매출 127.87억 원, 제품 수 268개 누적</x:v>
      </x:c>
      <x:c r="E12" s="11" t="str">
        <x:v>고령친화우수식품 지정 시장과 전체 케어푸드 시장 구분 필요</x:v>
      </x:c>
    </x:row>
    <x:row r="13" ht="15" hidden="0" customHeight="1">
      <x:c r="A13" s="11" t="str">
        <x:v>푸드테크 시장 2024년 96.2조 원</x:v>
      </x:c>
      <x:c r="B13" s="11" t="str">
        <x:v>확인</x:v>
      </x:c>
      <x:c r="C13" s="11" t="str">
        <x:v>S02</x:v>
      </x:c>
      <x:c r="D13" s="11" t="str">
        <x:v>KREI 추정: 2020년 50.1553조 원에서 2024년 96.2332조 원</x:v>
      </x:c>
      <x:c r="E13" s="11" t="str">
        <x:v>푸드테크 범위가 넓어 세부 카테고리별 재분류 필요</x:v>
      </x:c>
    </x:row>
  </x:sheetData>
  <x:mergeCells>
    <x:mergeCell ref="A1:E1"/>
  </x:mergeCells>
  <x:conditionalFormatting sqref="B4:B13">
    <x:cfRule type="containsText" dxfId="2" priority="1" operator="containsText" text="확인"/>
    <x:cfRule type="containsText" dxfId="3" priority="2" operator="containsText" text="부분"/>
  </x:conditionalFormatting>
  <x:pageMargins left="0.7" right="0.7" top="0.75" bottom="0.75" header="0.3" footer="0.3"/>
  <x:tableParts count="1">
    <x:tablePart xmlns:r="http://schemas.openxmlformats.org/officeDocument/2006/relationships" r:id="R58bdc7477b044a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16" hidden="0" customWidth="1"/>
    <x:col min="4" max="4" width="16" hidden="0" customWidth="1"/>
    <x:col min="5" max="5" width="68" hidden="0" customWidth="1"/>
    <x:col min="6" max="6" width="42" hidden="0" customWidth="1"/>
  </x:cols>
  <x:sheetData>
    <x:row r="1" ht="16.799999237060547" hidden="0" customHeight="1">
      <x:c r="A1" s="10" t="str">
        <x:v>출처 URL 목록</x:v>
      </x:c>
      <x:c r="B1" s="10"/>
      <x:c r="C1" s="10"/>
      <x:c r="D1" s="10"/>
      <x:c r="E1" s="10"/>
      <x:c r="F1" s="10"/>
    </x:row>
    <x:row r="2" ht="15" hidden="0" customHeight="1">
      <x:c r="A2" s="11"/>
      <x:c r="B2" s="11"/>
      <x:c r="C2" s="11"/>
      <x:c r="D2" s="11"/>
      <x:c r="E2" s="11"/>
      <x:c r="F2" s="11"/>
    </x:row>
    <x:row r="3" ht="15" hidden="0" customHeight="1">
      <x:c r="A3" s="8" t="str">
        <x:v>ID</x:v>
      </x:c>
      <x:c r="B3" s="8" t="str">
        <x:v>출처명</x:v>
      </x:c>
      <x:c r="C3" s="8" t="str">
        <x:v>유형</x:v>
      </x:c>
      <x:c r="D3" s="8" t="str">
        <x:v>일자</x:v>
      </x:c>
      <x:c r="E3" s="8" t="str">
        <x:v>URL</x:v>
      </x:c>
      <x:c r="F3" s="8" t="str">
        <x:v>사용 목적</x:v>
      </x:c>
    </x:row>
    <x:row r="4" ht="26.399999618530273" hidden="0" customHeight="1">
      <x:c r="A4" s="11" t="str">
        <x:v>S01</x:v>
      </x:c>
      <x:c r="B4" s="11" t="str">
        <x:v>KREI 식품외식정보 웹진: 2026 식품외식산업 7대 이슈</x:v>
      </x:c>
      <x:c r="C4" s="11" t="str">
        <x:v>공공/연구</x:v>
      </x:c>
      <x:c r="D4" s="11" t="str">
        <x:v>2026-04-23</x:v>
      </x:c>
      <x:c r="E4" s="11" t="str">
        <x:v>https://www.krei.re.kr/foodInfo/page/306?cmd=view&amp;pst=505043</x:v>
      </x:c>
      <x:c r="F4" s="11" t="str">
        <x:v>식품외식산업 7대 이슈, 간편식, 온라인 식품, 푸드테크, 규제, K-푸드 세계화</x:v>
      </x:c>
    </x:row>
    <x:row r="5" ht="26.399999618530273" hidden="0" customHeight="1">
      <x:c r="A5" s="11" t="str">
        <x:v>S02</x:v>
      </x:c>
      <x:c r="B5" s="11" t="str">
        <x:v>KREI PDF: 2026 식품외식산업 7대 이슈</x:v>
      </x:c>
      <x:c r="C5" s="11" t="str">
        <x:v>공공/연구 PDF</x:v>
      </x:c>
      <x:c r="D5" s="11" t="str">
        <x:v>2026-04-23</x:v>
      </x:c>
      <x:c r="E5" s="11" t="str">
        <x:v>https://www.krei.re.kr/foodInfo/board/atchDown.do?no=113520</x:v>
      </x:c>
      <x:c r="F5" s="11" t="str">
        <x:v>정량 데이터: 식품제조업/외식산업 전망, HMR, 온라인 식품, 푸드테크 시장</x:v>
      </x:c>
    </x:row>
    <x:row r="6" ht="26.399999618530273" hidden="0" customHeight="1">
      <x:c r="A6" s="11" t="str">
        <x:v>S03</x:v>
      </x:c>
      <x:c r="B6" s="11" t="str">
        <x:v>KATI: 글로벌 2025년 식품시장 트렌드 및 2026 전망</x:v>
      </x:c>
      <x:c r="C6" s="11" t="str">
        <x:v>공공/수출정보</x:v>
      </x:c>
      <x:c r="D6" s="11" t="str">
        <x:v>2025-12-17</x:v>
      </x:c>
      <x:c r="E6" s="11" t="str">
        <x:v>https://www.kati.net/board/reportORpubilcationView.do?board_seq=104476&amp;menu_dept2=49</x:v>
      </x:c>
      <x:c r="F6" s="11" t="str">
        <x:v>2026 전망: AI 초개인화 식생활, 아시아 식품 글로벌화, 소용량/친환경 포장</x:v>
      </x:c>
    </x:row>
    <x:row r="7" ht="26.399999618530273" hidden="0" customHeight="1">
      <x:c r="A7" s="11" t="str">
        <x:v>S04</x:v>
      </x:c>
      <x:c r="B7" s="11" t="str">
        <x:v>농림축산식품부: 2026년 식품산업진흥 시행계획</x:v>
      </x:c>
      <x:c r="C7" s="11" t="str">
        <x:v>정부 PDF</x:v>
      </x:c>
      <x:c r="D7" s="11" t="str">
        <x:v>2026-03</x:v>
      </x:c>
      <x:c r="E7" s="11" t="str">
        <x:v>https://www.mafra.go.kr/bbs/home/795/594785/download.do</x:v>
      </x:c>
      <x:c r="F7" s="11" t="str">
        <x:v>푸드테크 기본계획, 연구지원센터, 스마트제조/간편식 정책</x:v>
      </x:c>
    </x:row>
    <x:row r="8" ht="26.399999618530273" hidden="0" customHeight="1">
      <x:c r="A8" s="11" t="str">
        <x:v>S05</x:v>
      </x:c>
      <x:c r="B8" s="11" t="str">
        <x:v>농림축산식품부: RICE SHOW 2026 보도자료</x:v>
      </x:c>
      <x:c r="C8" s="11" t="str">
        <x:v>정부 보도자료</x:v>
      </x:c>
      <x:c r="D8" s="11" t="str">
        <x:v>2026-06-07</x:v>
      </x:c>
      <x:c r="E8" s="11" t="str">
        <x:v>https://www.mafra.go.kr/bbs/home/792/578111/artclView.do?layout=unknown</x:v>
      </x:c>
      <x:c r="F8" s="11" t="str">
        <x:v>쌀가공식품, 글루텐프리, 식물성 기반 식품, 전통 가공 트렌드</x:v>
      </x:c>
    </x:row>
    <x:row r="9" ht="26.399999618530273" hidden="0" customHeight="1">
      <x:c r="A9" s="11" t="str">
        <x:v>S06</x:v>
      </x:c>
      <x:c r="B9" s="11" t="str">
        <x:v>농림축산식품부: 서울푸드 2026 개막 보도자료</x:v>
      </x:c>
      <x:c r="C9" s="11" t="str">
        <x:v>정부 보도자료</x:v>
      </x:c>
      <x:c r="D9" s="11" t="str">
        <x:v>2026-06-09</x:v>
      </x:c>
      <x:c r="E9" s="11" t="str">
        <x:v>https://www.mafra.go.kr/bbs/home/792/578122/artclView.do</x:v>
      </x:c>
      <x:c r="F9" s="11" t="str">
        <x:v>49개국 1,800개 기업, AI/로봇 푸드 컨버전스, 대체육/기호식품/푸드테크</x:v>
      </x:c>
    </x:row>
    <x:row r="10" ht="26.399999618530273" hidden="0" customHeight="1">
      <x:c r="A10" s="11" t="str">
        <x:v>S07</x:v>
      </x:c>
      <x:c r="B10" s="11" t="str">
        <x:v>MFDS/정책브리핑: 2026년부터 가공식품 영양표시 확대</x:v>
      </x:c>
      <x:c r="C10" s="11" t="str">
        <x:v>정부 정책뉴스</x:v>
      </x:c>
      <x:c r="D10" s="11" t="str">
        <x:v>2024-08-09</x:v>
      </x:c>
      <x:c r="E10" s="11" t="str">
        <x:v>https://www.korea.kr/news/policyNewsView.do?newsId=148932450</x:v>
      </x:c>
      <x:c r="F10" s="11" t="str">
        <x:v>2026~2028 영양표시 단계 의무화, 고카페인/당알코올 표시 강화</x:v>
      </x:c>
    </x:row>
    <x:row r="11" ht="26.399999618530273" hidden="0" customHeight="1">
      <x:c r="A11" s="11" t="str">
        <x:v>S08</x:v>
      </x:c>
      <x:c r="B11" s="11" t="str">
        <x:v>식품의약품안전처: 2026년 영양표시제도 주요 변경사항</x:v>
      </x:c>
      <x:c r="C11" s="11" t="str">
        <x:v>정부 공지</x:v>
      </x:c>
      <x:c r="D11" s="11" t="str">
        <x:v>2025-02-28</x:v>
      </x:c>
      <x:c r="E11" s="11" t="str">
        <x:v>https://www.mfds.go.kr/brd/m_1105/view.do?seq=33773</x:v>
      </x:c>
      <x:c r="F11" s="11" t="str">
        <x:v>2026년 1월 1일부터 시행되는 영양표시 주요 변경 안내</x:v>
      </x:c>
    </x:row>
    <x:row r="12" ht="26.399999618530273" hidden="0" customHeight="1">
      <x:c r="A12" s="11" t="str">
        <x:v>S09</x:v>
      </x:c>
      <x:c r="B12" s="11" t="str">
        <x:v>ListeningMind: 2026 푸드 트렌드 분석</x:v>
      </x:c>
      <x:c r="C12" s="11" t="str">
        <x:v>검색 데이터 리포트</x:v>
      </x:c>
      <x:c r="D12" s="11" t="str">
        <x:v>2026-04-14</x:v>
      </x:c>
      <x:c r="E12" s="11" t="str">
        <x:v>https://kr.listeningmind.com/2026-health-functional-food-market-trends-2/</x:v>
      </x:c>
      <x:c r="F12" s="11" t="str">
        <x:v>푸드 논브랜드 키워드 검색 규모, 최근 6개월 급증 키워드, 연령별 검색 관심</x:v>
      </x:c>
    </x:row>
    <x:row r="13" ht="26.399999618530273" hidden="0" customHeight="1">
      <x:c r="A13" s="11" t="str">
        <x:v>S10</x:v>
      </x:c>
      <x:c r="B13" s="11" t="str">
        <x:v>국가데이터처: 2025 통계로 보는 1인가구</x:v>
      </x:c>
      <x:c r="C13" s="11" t="str">
        <x:v>정부 통계</x:v>
      </x:c>
      <x:c r="D13" s="11" t="str">
        <x:v>2025-12-09</x:v>
      </x:c>
      <x:c r="E13" s="11" t="str">
        <x:v>https://mods.go.kr/board.es?act=view&amp;bid=10820&amp;list_no=442130&amp;mainXml=Y&amp;mid=a10301010000</x:v>
      </x:c>
      <x:c r="F13" s="11" t="str">
        <x:v>2024년 1인가구 804.5만 가구, 전체 가구 36.1%</x:v>
      </x:c>
    </x:row>
    <x:row r="14" ht="26.399999618530273" hidden="0" customHeight="1">
      <x:c r="A14" s="11" t="str">
        <x:v>S11</x:v>
      </x:c>
      <x:c r="B14" s="11" t="str">
        <x:v>식품음료신문: 2026 한국인의 식탁, 건강·편리미엄</x:v>
      </x:c>
      <x:c r="C14" s="11" t="str">
        <x:v>업계 뉴스</x:v>
      </x:c>
      <x:c r="D14" s="11" t="str">
        <x:v>2025-11-03</x:v>
      </x:c>
      <x:c r="E14" s="11" t="str">
        <x:v>https://www.thinkfood.co.kr/news/articleView.html?idxno=103743</x:v>
      </x:c>
      <x:c r="F14" s="11" t="str">
        <x:v>한 그릇 음식, 샐러드/비빔밥/덮밥 증가, 단백질 시장 진화</x:v>
      </x:c>
    </x:row>
    <x:row r="15" ht="15" hidden="0" customHeight="1">
      <x:c r="A15" s="11" t="str">
        <x:v>S12</x:v>
      </x:c>
      <x:c r="B15" s="11" t="str">
        <x:v>식품음료신문: 고령친화우수식품 시장 성장</x:v>
      </x:c>
      <x:c r="C15" s="11" t="str">
        <x:v>업계 뉴스</x:v>
      </x:c>
      <x:c r="D15" s="11" t="str">
        <x:v>2026-04-03</x:v>
      </x:c>
      <x:c r="E15" s="11" t="str">
        <x:v>https://www.thinkfood.co.kr/news/articleView.html?idxno=105029</x:v>
      </x:c>
      <x:c r="F15" s="11" t="str">
        <x:v>늘편푸드 2025년 매출 127.87억 원, 제품 수 268개</x:v>
      </x:c>
    </x:row>
    <x:row r="16" ht="15" hidden="0" customHeight="1">
      <x:c r="A16" s="11" t="str">
        <x:v>S13</x:v>
      </x:c>
      <x:c r="B16" s="11" t="str">
        <x:v>푸드아이콘: 장건강·단백질·멀티 기능성</x:v>
      </x:c>
      <x:c r="C16" s="11" t="str">
        <x:v>업계 뉴스</x:v>
      </x:c>
      <x:c r="D16" s="11" t="str">
        <x:v>2026-05</x:v>
      </x:c>
      <x:c r="E16" s="11" t="str">
        <x:v>https://www.foodicon.co.kr/news/articleView.html?idxno=33540</x:v>
      </x:c>
      <x:c r="F16" s="11" t="str">
        <x:v>단백질과 장건강, 식이섬유, 멀티 기능성 제품 동향</x:v>
      </x:c>
    </x:row>
    <x:row r="17" ht="26.399999618530273" hidden="0" customHeight="1">
      <x:c r="A17" s="11" t="str">
        <x:v>S14</x:v>
      </x:c>
      <x:c r="B17" s="11" t="str">
        <x:v>농림축산식품부: K-푸드+ 2025년 수출 136억 달러</x:v>
      </x:c>
      <x:c r="C17" s="11" t="str">
        <x:v>정부 보도자료</x:v>
      </x:c>
      <x:c r="D17" s="11" t="str">
        <x:v>2026-01-12</x:v>
      </x:c>
      <x:c r="E17" s="11" t="str">
        <x:v>https://www.mafra.go.kr/bbs/home/792/576527/artclView.do</x:v>
      </x:c>
      <x:c r="F17" s="11" t="str">
        <x:v>K-푸드+ 2025년 수출 136.2억 달러, 2026년 목표 160억 달러</x:v>
      </x:c>
    </x:row>
    <x:row r="18" ht="26.399999618530273" hidden="0" customHeight="1">
      <x:c r="A18" s="11" t="str">
        <x:v>S15</x:v>
      </x:c>
      <x:c r="B18" s="11" t="str">
        <x:v>FIS 식품산업통계정보: 2026 트렌드 Pick 목록</x:v>
      </x:c>
      <x:c r="C18" s="11" t="str">
        <x:v>공공/시장분석</x:v>
      </x:c>
      <x:c r="D18" s="11" t="str">
        <x:v>2026-06-05</x:v>
      </x:c>
      <x:c r="E18" s="11" t="str">
        <x:v>https://www.atfis.or.kr/home/board/FB0002.do</x:v>
      </x:c>
      <x:c r="F18" s="11" t="str">
        <x:v>2026년 간편식, 체중조절식품, 당류 저감, 고령친화식품 트렌드 Pick 주제 확인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86ea4e701e147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16.799999237060547" hidden="0" customHeight="1">
      <x:c r="A1" s="10" t="str">
        <x:v>방법론 및 해석 주의사항</x:v>
      </x:c>
      <x:c r="B1" s="10"/>
    </x:row>
    <x:row r="2" ht="15" hidden="0" customHeight="1">
      <x:c r="A2" s="11"/>
      <x:c r="B2" s="11"/>
    </x:row>
    <x:row r="3" ht="15" hidden="0" customHeight="1">
      <x:c r="A3" s="8" t="str">
        <x:v>구분</x:v>
      </x:c>
      <x:c r="B3" s="8" t="str">
        <x:v>내용</x:v>
      </x:c>
    </x:row>
    <x:row r="4" ht="15" hidden="0" customHeight="1">
      <x:c r="A4" s="11" t="str">
        <x:v>작성일</x:v>
      </x:c>
      <x:c r="B4" s="11" t="str">
        <x:v>2026-07-07</x:v>
      </x:c>
    </x:row>
    <x:row r="5" ht="26.399999618530273" hidden="0" customHeight="1">
      <x:c r="A5" s="11" t="str">
        <x:v>검색 범위</x:v>
      </x:c>
      <x:c r="B5" s="11" t="str">
        <x:v>2026년 대한민국 식품 트렌드를 중심으로 한국어 뉴스, 정부/공공자료, 식품산업 리포트, 검색 데이터 공개 리포트를 확인</x:v>
      </x:c>
    </x:row>
    <x:row r="6" ht="15" hidden="0" customHeight="1">
      <x:c r="A6" s="11" t="str">
        <x:v>우선순위</x:v>
      </x:c>
      <x:c r="B6" s="11" t="str">
        <x:v>1차: 정부/공공/연구기관 자료, 2차: 식품 전문지/업계 뉴스, 3차: 브랜드/마케팅 리포트</x:v>
      </x:c>
    </x:row>
    <x:row r="7" ht="15" hidden="0" customHeight="1">
      <x:c r="A7" s="11" t="str">
        <x:v>종합순위 산정</x:v>
      </x:c>
      <x:c r="B7" s="11" t="str">
        <x:v>검색/인텐트 점수 + 시장/정책 데이터 점수 + 뉴스 신선도 + 상업화 가능성 + 팩트체크 신뢰도 합산</x:v>
      </x:c>
    </x:row>
    <x:row r="8" ht="26.399999618530273" hidden="0" customHeight="1">
      <x:c r="A8" s="11" t="str">
        <x:v>검색량 순위 처리</x:v>
      </x:c>
      <x:c r="B8" s="11" t="str">
        <x:v>개별 키워드의 절대 검색량 원자료가 공개되어 있지 않아, ListeningMind 공개 검색 리포트의 집계 검색량과 급증 키워드를 사용하고, 종합순위에는 시장 데이터와 출처 강도를 함께 반영</x:v>
      </x:c>
    </x:row>
    <x:row r="9" ht="26.399999618530273" hidden="0" customHeight="1">
      <x:c r="A9" s="11" t="str">
        <x:v>팩트체크 기준</x:v>
      </x:c>
      <x:c r="B9" s="11" t="str">
        <x:v>숫자·정책·날짜는 원문 출처가 확인되는 경우 '확인', 업계 기사 중심이거나 글로벌 자료를 국내 적용한 경우 '보조 확인'으로 표기</x:v>
      </x:c>
    </x:row>
    <x:row r="10" ht="15" hidden="0" customHeight="1">
      <x:c r="A10" s="11" t="str">
        <x:v>주의</x:v>
      </x:c>
      <x:c r="B10" s="11" t="str">
        <x:v>2026년 7월 7일 현재 확인 가능한 자료 기준이며, 2026년 연간 실적은 대부분 전망/목표/1분기 일부 실적임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d049f62fe3a41f2"/>
  </x:tableParts>
</x:worksheet>
</file>